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egioqi583-my.sharepoint.com/personal/edmilson_serafim_raizeducacao_info/Documents/Área de Trabalho/Ap proposta/"/>
    </mc:Choice>
  </mc:AlternateContent>
  <xr:revisionPtr revIDLastSave="20" documentId="11_B72521CFD56C5803DD2D4C3C3D2F12C3787ADA9B" xr6:coauthVersionLast="47" xr6:coauthVersionMax="47" xr10:uidLastSave="{047EC165-DAFD-4827-B783-21C2BFD00002}"/>
  <bookViews>
    <workbookView xWindow="-28920" yWindow="-1725" windowWidth="29040" windowHeight="15720" xr2:uid="{00000000-000D-0000-FFFF-FFFF00000000}"/>
  </bookViews>
  <sheets>
    <sheet name="Validação" sheetId="1" r:id="rId1"/>
  </sheets>
  <definedNames>
    <definedName name="_xlnm._FilterDatabase" localSheetId="0" hidden="1">Validação!$A$1:$AG$101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2" i="1"/>
</calcChain>
</file>

<file path=xl/sharedStrings.xml><?xml version="1.0" encoding="utf-8"?>
<sst xmlns="http://schemas.openxmlformats.org/spreadsheetml/2006/main" count="2138" uniqueCount="424">
  <si>
    <t>chave</t>
  </si>
  <si>
    <t>codlote</t>
  </si>
  <si>
    <t>cia</t>
  </si>
  <si>
    <t>filial</t>
  </si>
  <si>
    <t>integraaplicacao</t>
  </si>
  <si>
    <t>idpartida</t>
  </si>
  <si>
    <t>ticket</t>
  </si>
  <si>
    <t>fornecedor_padrao</t>
  </si>
  <si>
    <t>anomes</t>
  </si>
  <si>
    <t>valor</t>
  </si>
  <si>
    <t>complemento</t>
  </si>
  <si>
    <t>recorrente</t>
  </si>
  <si>
    <t>conta</t>
  </si>
  <si>
    <t>tag1</t>
  </si>
  <si>
    <t>tag2</t>
  </si>
  <si>
    <t>tag3</t>
  </si>
  <si>
    <t>tag4</t>
  </si>
  <si>
    <t>tag_orc</t>
  </si>
  <si>
    <t>original</t>
  </si>
  <si>
    <t>r_o</t>
  </si>
  <si>
    <t>cc</t>
  </si>
  <si>
    <t>codcoligada</t>
  </si>
  <si>
    <t>codfilial</t>
  </si>
  <si>
    <t>usuario</t>
  </si>
  <si>
    <t>conta_original</t>
  </si>
  <si>
    <t>tag1_original</t>
  </si>
  <si>
    <t>tag4_original</t>
  </si>
  <si>
    <t>tagorc_original</t>
  </si>
  <si>
    <t>integrachave_tratada</t>
  </si>
  <si>
    <t>coligada_chave</t>
  </si>
  <si>
    <t>id_cont</t>
  </si>
  <si>
    <t>status_lanc_financeiro</t>
  </si>
  <si>
    <t>anomes_original</t>
  </si>
  <si>
    <t>RZ</t>
  </si>
  <si>
    <t>RJ</t>
  </si>
  <si>
    <t>JF</t>
  </si>
  <si>
    <t>C</t>
  </si>
  <si>
    <t>T</t>
  </si>
  <si>
    <t>100082 oc 38123</t>
  </si>
  <si>
    <t>100082 oc 38401</t>
  </si>
  <si>
    <t>100082 oc 38458</t>
  </si>
  <si>
    <t>Extra carrinhos</t>
  </si>
  <si>
    <t>HUBSPORT. INC</t>
  </si>
  <si>
    <t>N.V. 942 ROUPAS LTDA</t>
  </si>
  <si>
    <t>LOCALIZA FLEET S/A</t>
  </si>
  <si>
    <t>BARROS - COMERCIO. LOCACAO E SERVICOS LTDA</t>
  </si>
  <si>
    <t>ANDRE GUSMAN DE OLIVEIRA LTDA</t>
  </si>
  <si>
    <t>MAIS MOBI SERVICOS LTDA</t>
  </si>
  <si>
    <t>ASOF SERVICOS DE CONSTRUCAO LTDA</t>
  </si>
  <si>
    <t>VAGNER JOSE DA SILVA 09853752727</t>
  </si>
  <si>
    <t>POSSEFERRO FERRAGENS</t>
  </si>
  <si>
    <t>TRT 1A. REGIAO</t>
  </si>
  <si>
    <t>CLIENT CO SERVICOS DE REDE NORDESTE S.A.</t>
  </si>
  <si>
    <t>TAMIRES COMUNICACAO</t>
  </si>
  <si>
    <t>Movida Participações S.A.</t>
  </si>
  <si>
    <t>CONTATO SEGURO PREVENCAO DE RISCOS EMPRESARIAIS LTDA</t>
  </si>
  <si>
    <t>A-ACAR S-LOCALIZA RENT A LOCALIZA RENT A CAR S</t>
  </si>
  <si>
    <t>58.409.771 LEANDRO SACELOTTI DA SILVA</t>
  </si>
  <si>
    <t>ERO EMPREENDIMENTOS E PARTICIPACOES LTDA.</t>
  </si>
  <si>
    <t>Sannyservice Locacoes e Servicos LTDA</t>
  </si>
  <si>
    <t>CAD ENGENHARIA DE INCENDIO</t>
  </si>
  <si>
    <t>CLARISSA ARIEL DE FARIA RIBEIRO - TREINAMENTOS</t>
  </si>
  <si>
    <t>EDMILSON SARDEIRO SERAFIM LTDA</t>
  </si>
  <si>
    <t>FERNANDA BEATRIZ OLIVEIRA PONTES APOIO ADMINISTRATIVO LTDA</t>
  </si>
  <si>
    <t>IGOR LESSA DOS SANTOS DA SILVA</t>
  </si>
  <si>
    <t>32.659.779 MARCELLO RODRIGO DE ANDRADE QUEIROZ</t>
  </si>
  <si>
    <t>ANA CAROLINA MAIA DE SOUZA LIMA 13979312720</t>
  </si>
  <si>
    <t>51.525.421 LUIZ GUILHERME DE SOUZA CORSINO BASTOS</t>
  </si>
  <si>
    <t>63.896.182 BRUNO DE MATOS OLIVEIRA</t>
  </si>
  <si>
    <t>MADELAINNE ATELLA BASTOS LTDA</t>
  </si>
  <si>
    <t>JOAO PEDRO DE AZAMBUJA CAMPOS LTDA</t>
  </si>
  <si>
    <t>VANESSA LARA FERREIRA LTDA</t>
  </si>
  <si>
    <t>LUISA SANTOS GONCALVES LOPES SERVICOS ADMINISTRATIVOS LTDA</t>
  </si>
  <si>
    <t>ANTELO CARDOSO SERVICOS LTDA</t>
  </si>
  <si>
    <t>ROMACK CONSULTORIA EM MARKETING LTDA</t>
  </si>
  <si>
    <t>Eloa Vieira Mangueira</t>
  </si>
  <si>
    <t>DINO - CONSTRUCAO</t>
  </si>
  <si>
    <t>LEONARDO FERNANDES DA SILVA CARVALHO</t>
  </si>
  <si>
    <t>Cynthia Torres Muniz</t>
  </si>
  <si>
    <t>FABIANO SOARES MOREIRA</t>
  </si>
  <si>
    <t>MARCELLE DE ALMEIDA GAUDARD SERVICOS ADMINISTRATIVOS LTDA</t>
  </si>
  <si>
    <t>BRUNA MARTINS DE OLIVEIRA</t>
  </si>
  <si>
    <t>LYRA CONSULTORIA &amp; TREINAMENTO LTDA.</t>
  </si>
  <si>
    <t>JACAREPAGUA RJ ALUGUEL DE EQUIPAMENTOS LTDA</t>
  </si>
  <si>
    <t>RODRIGO F COUTINHO</t>
  </si>
  <si>
    <t>Gabriel Araujo Oliveira</t>
  </si>
  <si>
    <t>PAULO ROGERIO DE ANDRADE</t>
  </si>
  <si>
    <t>Madelainne atella Bastos</t>
  </si>
  <si>
    <t>CARLA THOMAZ BARROS VIANNA</t>
  </si>
  <si>
    <t>Fernanda Beatriz Oliveira Pontes</t>
  </si>
  <si>
    <t>JULIANA PEREIRA CAURIO</t>
  </si>
  <si>
    <t>RODRIGO RODRIGUES VIEIRA TECNOLOGIA DA INFORMACAO LTDA</t>
  </si>
  <si>
    <t>JOHNNY RODRIGUES MACHADO</t>
  </si>
  <si>
    <t>JMD TREINAMENTO. GESTAO E CORRETORA DE SEGUROS LTDA</t>
  </si>
  <si>
    <t>HAVILA COMERCIO DE VIDROS E CRISTAIS LTDA</t>
  </si>
  <si>
    <t>3 Reis Comercio e Servicos LTDA</t>
  </si>
  <si>
    <t>SABRINA FREITAS DE ARAUJO SILVA LTDA</t>
  </si>
  <si>
    <t>ASSOCIACAO CENTAURI - GERACAO COMPARTILHADA DE ENERGIA SOLAR</t>
  </si>
  <si>
    <t>LUISA SANTOS GONÇALVES LOPES</t>
  </si>
  <si>
    <t>Alfredo Portugal de Paula Rocha</t>
  </si>
  <si>
    <t>Ian Almeida Afonso Florencio</t>
  </si>
  <si>
    <t>ART AIR REFRIGERACAO</t>
  </si>
  <si>
    <t>CASA DO CONSTRUTOR</t>
  </si>
  <si>
    <t>AVANT REFRIGERACAO E CONSTRUCAO LTDA</t>
  </si>
  <si>
    <t>UNI ESTRELA COMERCIO DE TINTAS LTDA</t>
  </si>
  <si>
    <t>POWER LIGHT COMERCIAL LTDA</t>
  </si>
  <si>
    <t>Grm - Tecnologia e Servicos LTDA</t>
  </si>
  <si>
    <t>61.566.562 LARISSA HEVIA LIMA DONOLA</t>
  </si>
  <si>
    <t>MARCELLE DE ALMEIDA GAUDARD</t>
  </si>
  <si>
    <t>POWER DE IRAJA COMERCIAL LTDA</t>
  </si>
  <si>
    <t>FILTRACON REFRIGERACAO E CONSTRUCAO LTDA.</t>
  </si>
  <si>
    <t>JLO CAROLINO ASSESSORIA CONTABIL</t>
  </si>
  <si>
    <t>RAFAEL RASSI LIRA APOIO ADMINISTRATIVO LTDA</t>
  </si>
  <si>
    <t>MALVES CONTABILIDADE</t>
  </si>
  <si>
    <t>63.257.264 MANUELLA MANHAES PAURA</t>
  </si>
  <si>
    <t>ADRIANA HASSIN SILVA LTDA</t>
  </si>
  <si>
    <t>APROP. 2/6 FATURA 681977917 - HUBSPORT. INC - Pagamento semestral.</t>
  </si>
  <si>
    <t>000004546 - N.V. 942 ROUPAS LTDA - Blusas polo para fucnionários novos do Raiz</t>
  </si>
  <si>
    <t>000545983 - LOCALIZA RENT A CAR SA - Aluguel de veículos</t>
  </si>
  <si>
    <t>000012165 - BARROS - COMERCIO. LOCACAO E SERVICOS LTDA - EMPREITADA JOSE HIGINO - Material elétrico</t>
  </si>
  <si>
    <t>000000029 - ANDRE GUSMAN DE OLIVEIRA LTDA - Pagamento salário</t>
  </si>
  <si>
    <t>057868039 - MAIS MOBI SERVICOS LTDA - CARTÕES PROVISORIOS PARA ADMITIDOS NOVOS</t>
  </si>
  <si>
    <t>000000013 - ASOF SERVICOS DE CONSTRUCAO LTDA - EMPREITADA JOSE HIGINO - Serviços de estuque em paredes internas e fachadas. contrapisos. pintura externa e demolições</t>
  </si>
  <si>
    <t>000000017 - VAGNER JOSE DA SILVA 09853752727 - EMPREITADA JOSE HIGINO - Serviço de textura de fachada</t>
  </si>
  <si>
    <t>000054844 - POSSEFERRO FERRAGENS - EMPREITADA JOSE HIGINO - Tela soldada para calçada</t>
  </si>
  <si>
    <t>000118212 - TRIBUNAL REGIONAL DO TRABALHO DA 1A. REGIAO - Solicito pagamento referente a 4ª parcela de 6. do parcelamento do art. 916 do CPC nos autos da reclamação trabalhista movida por KISSILA DE BRITO ALVARENGA ABB em face da Raiz (processo n. 01</t>
  </si>
  <si>
    <t>018234877 - CLIENT CO SERVICOS DE REDE NORDESTE S.A. - Pagamento referente ao serviço de internet da Raiz Educação.Ref: 12/2025.</t>
  </si>
  <si>
    <t>000000048 - TAMIRES ALVES FERNANDES DA SILVA 12242854763 - Social Media: Planejamento e criação de publicações de posts para redes sociais das escolas do Grupo.</t>
  </si>
  <si>
    <t>007715101 - Movida Participações S.A. - Pagamento referente ao aluguel de veículo.</t>
  </si>
  <si>
    <t>000000552 - CONTATO SEGURO PREVENCAO DE RISCOS EMPRESARIAIS LTDA - Contato Seguro.</t>
  </si>
  <si>
    <t>A - Aluguel de veículos-ACAR S-000082721 - LOCALIZA RENT A LOCALIZA RENT A CAR S</t>
  </si>
  <si>
    <t>000000207 - 58.409.771 LEANDRO SACELOTTI DA SILVA - EMISSÃO DE NOTAS FISCAL MANUAL DA COMPETÊNCIA DE DEZ/2025. REFERENTE AOS SERVIÇO PRESTADOS DAS COLIGADAS (COLEGIO AMERICANO. COLEGIO LEONARDO DA VINCI ALFA E BETA . COLEGIO UNIFICADO RAMIRO E ZONA S</t>
  </si>
  <si>
    <t>000000029 - ERO EMPREENDIMENTOS E PARTICIPACOES LTDA. - Pagamento referente ao aluguem do imóvel Av. das Américas. 2000 box 69 - Barra da Tijuca. Rio de Janeiro.Competência Janeiro/2026</t>
  </si>
  <si>
    <t>000202580 - Sannyservice Locacoes e Servicos LTDA - LOCAÇÃO DE BANHEIRO QUIMICO  PARA PAIS E VISITANTES ATÉ 30/01</t>
  </si>
  <si>
    <t>000000001 - CAD ENGENHARIA DE INCENDIO EIRELI - EMPREITADA JOSE HIGINO - Instalação do Sistema de Prevenção e Combate à Incêndio</t>
  </si>
  <si>
    <t>007755468 - Movida Participações S.A. - Pagamento referente ao aluguel de veículo.</t>
  </si>
  <si>
    <t>007765965 - Movida Participações S.A. - Pagamento referente ao aluguel de veículo.</t>
  </si>
  <si>
    <t>000000045 - CLARISSA ARIEL DE FARIA RIBEIRO - TREINAMENTOS - NF ref aos serviços prestados de Coordenadora de RH no mês de Dezembro/2025.</t>
  </si>
  <si>
    <t>000000001 - EDMILSON SARDEIRO SERAFIM LTDA - Pgto PJ do Planfin</t>
  </si>
  <si>
    <t>000000004 - FERNANDA BEATRIZ OLIVEIRA PONTES APOIO ADMINISTRATIVO LTDA - Referente ao serviço de Especialista de Treinamento e Desenvolvimento</t>
  </si>
  <si>
    <t>000000015 - IGOR LESSA DOS SANTOS DA SILVA - EMPREITADA JOSE HIGINO - Acompanhamento de obra e engenharia consultiva</t>
  </si>
  <si>
    <t>000000008 - 32.659.779 MARCELLO RODRIGO DE ANDRADE QUEIROZ - Criação e edição de materiais gráficos</t>
  </si>
  <si>
    <t>000000029 - ANA CAROLINA MAIA DE SOUZA LIMA 13979312720 - Atividades de SAC e Repost de stories aos finais de semana para contas de instagram do Grupo. REF 12/2025</t>
  </si>
  <si>
    <t>000000029 - 51.525.421 LUIZ GUILHERME DE SOUZA CORSINO BASTOS - Acompanhamento e suporte nas solicitações e correções dos sites do Grupo.</t>
  </si>
  <si>
    <t>000000002 - 63.896.182 BRUNO DE MATOS OLIVEIRA - Solicitação de pagamento referente à Nota Fiscal de Serviço Eletrônica (NFS-e) emitida por 63.896.182 BRUNO DE MATOS OLIVEIRA (MEI). CNPJ 63.896.182/0001-40. no valor de R$ 6.400.00. relativa à prestaç</t>
  </si>
  <si>
    <t>000020261 - MADELAINNE ATELLA BASTOS LTDA - Serviço PJ</t>
  </si>
  <si>
    <t>000020261 - JOAO PEDRO DE AZAMBUJA CAMPOS LTDA - Pagamento referente à prestação de serviços entre os dias 01/12/2025 e 31/12/2025.</t>
  </si>
  <si>
    <t>000000001 - VANESSA LARA FERREIRA LTDA - Pagamento mensal. Valor de R$13.000.00 descontado 1/3 de R$1.983.33</t>
  </si>
  <si>
    <t>000020261 - LUISA SANTOS GONCALVES LOPES SERVICOS ADMINISTRATIVOS LTDA - Referente ao pagamento salarial de dezembro 25</t>
  </si>
  <si>
    <t>000000001 - ANTELO CARDOSO SERVICOS LTDA - Direcao cmef</t>
  </si>
  <si>
    <t>000020261 - ROMACK CONSULTORIA EM MARKETING LTDA - Nota referente à prestação de serviços de marketing.</t>
  </si>
  <si>
    <t>000004018 - Eloa Vieira Mangueira  - Segue os comprovantes de deslocamento para o Matriz nos dias 22 e 23/12</t>
  </si>
  <si>
    <t>000072583 - MATERIAIS DE CONSTRUCAO DINO LTDA - EMPREITADA JOSE HIGINO - Material de pintura</t>
  </si>
  <si>
    <t>000004019 - LEONARDO FERNANDES DA SILVA CARVALHO - Solicito reembolso das despesas com deslocamento realizadas por meio de transporte Uber/99. referentes aos dias 22 e 23 de dezembro. no trajeto ida e volta entre Tijuca e a unidade Matriz Taquara. on</t>
  </si>
  <si>
    <t>11.-11 ao dia 07-000004020 - Cynthia Torres Muniz - Solicitação o reembolso da viagem que fiz para Porto Alegre. do dia 03</t>
  </si>
  <si>
    <t>020251056 - FABIANO SOARES MOREIRA - MEI - Serviço de manutenção das Escolas da Rede Apogeu  Juiz de Fora - mês dezembro 25</t>
  </si>
  <si>
    <t>000000003 -  MARCELLE DE ALMEIDA GAUDARD SERVICOS ADMINISTRATIVOS LTDA - Referente a dezembro/25</t>
  </si>
  <si>
    <t>000004021 - BRUNA MARTINS DE OLIVEIRA - Reembolso referente curso de pós graduação de IA para Contabilidade - Dez/25</t>
  </si>
  <si>
    <t>2025. no valor de R$ 266.67. correspondente ao pagamento do 13º salário proporcional (½ avo) do exercício de 2025. conforme critério ad-12-000000001 - 63.896.182 BRUNO DE MATOS OLIVEIRA - Solicitação de pagamento referente à NFS-e nº 1. emitida em 29</t>
  </si>
  <si>
    <t>000000672 - LYRA CONSULTORIA &amp; TREINAMENTO LTDA. - Serviços prestados em 01/12/25 a 31/12/25</t>
  </si>
  <si>
    <t>000130719 - JACAREPAGUA RJ ALUGUEL DE EQUIPAMENTOS LTDA - EMPREITADA JOSE HIGINO - Locação de rompedor 16kg</t>
  </si>
  <si>
    <t>000545827 - LOCALIZA RENT A CAR SA - Aluguel de veículos</t>
  </si>
  <si>
    <t>000000120 - RODRIGO F COUTINHO - Referente aos serviços prestados em dez/25.</t>
  </si>
  <si>
    <t>000004022 - Gabriel Araujo Oliveira - Reembolso restaurante. meta batida dezembro. equipe.</t>
  </si>
  <si>
    <t>000000230 - PAULO ROGERIO DE ANDRADE SANTOS APOIO ADMINISTRATIVO - NF referente ao décimo terceiro de 2025.</t>
  </si>
  <si>
    <t>000000229 - PAULO ROGERIO DE ANDRADE SANTOS APOIO ADMINISTRATIVO - NF referente ao mês de dezembro de 2025.</t>
  </si>
  <si>
    <t>000004023 - Madelainne atella Bastos - São ações diversas da Central</t>
  </si>
  <si>
    <t>000004024 - Carla Thomaz Barros Vianna - Reembolso referente a:- Café da manhã do time de Pessoas e Cultura - R$364.74- Energético para André (festa de final de ano) - R$239.98</t>
  </si>
  <si>
    <t>000004026 - Fernanda Beatriz Oliveira Pontes - Referente aos custos no dia da festa de final de ano do RJUber para Freeway - R$ 59.87Uber para Faro - R$ 39.71Uber para casa - R$ 121.80Almoço - Mariana e Fernanda R$ 123.68</t>
  </si>
  <si>
    <t>000004027 - JULIANA PEREIRA CAURIO - Segue despesas no cartão de credito que é usado em gastos de eventos</t>
  </si>
  <si>
    <t>000000006 - RODRIGO RODRIGUES VIEIRA TECNOLOGIA DA INFORMACAO LTDA - SOLICITAÇÃO DE PAGAMENTO PARA COLABORADOR PJ</t>
  </si>
  <si>
    <t>000004029 - Fernanda Beatriz Oliveira Pontes - Reembolso referente aos custos da viagem ao RS para reunião com as marcas e festa de final de ano. Segue descritivo:Uber - ida para aeroporto - R$57.99Uber - hotel para local da festa para organização -</t>
  </si>
  <si>
    <t>000004030 - JOHNNY RODRIGUES MACHADO - Prezados. envio a prestação de contas do cartão de fundo fixo utilizado pela Gerência de Marketing. Mídia e Eventos. Em anexo opcionais. envio mais um documento com o detalhamento dos custos itens a itens</t>
  </si>
  <si>
    <t>000000002 - JMD TREINAMENTO. GESTAO E CORRETORA DE SEGUROS LTDA - Serviços de Gerência Comercial</t>
  </si>
  <si>
    <t>000072507 - MATERIAIS DE CONSTRUCAO DINO LTDA - Compra de material de pintura para recesso</t>
  </si>
  <si>
    <t>000000800 - HAVILA COMERCIO DE VIDROS E CRISTAIS LTDA - Colocacao de borracha nos vidros</t>
  </si>
  <si>
    <t>000000325 - 3 Reis Comercio e Servicos LTDA - Pagamento referente compra de lixeiras - capex - enxoval Sarah</t>
  </si>
  <si>
    <t>000020261 - SABRINA FREITAS DE ARAUJO SILVA LTDA - referente a dezembro.2025</t>
  </si>
  <si>
    <t>202570810 - ASSOCIACAO CENTAURI - GERACAO COMPARTILHADA DE ENERGIA SOLAR - Referente a GENIAL - Raiz Educação Av das Américas 2000Referência: 12/2025Instalação: 414854248</t>
  </si>
  <si>
    <t>000004032 - LUISA SANTOS GONÇALVES LOPES - 27/out R$           26.92raiz x escola05/nov R$           30.10escola x escola05/nov R$           69.89escola x casa10/nov R$           32.57escola13/nov R$           15.39casax viagem JF19/nov R$</t>
  </si>
  <si>
    <t>000004033 - Alfredo Portugal de Paula Rocha - Reembolso Alfredo</t>
  </si>
  <si>
    <t>000004034 - Ian Almeida Afonso Florencio - Boa tarde!Solicito o reembolso referente ao pagamento de R$290.00 para troca da tela do aparelho celular Motorola E13 da Raiz Educação que utilizo em Juiz de Fora.Conforme acordado com o Kevin. eu realizei o</t>
  </si>
  <si>
    <t>000001252 - ART AIR RIO PECAS DE REFRIGERACAO LTDA - Material de Manutenção Elétrico</t>
  </si>
  <si>
    <t>000235385 - CASA DO CONSTRUTOR E MATERIAIS DE CONSTRUCAO LTDA  - Material para uso na unidade</t>
  </si>
  <si>
    <t>000072548 - MATERIAIS DE CONSTRUCAO DINO LTDA - Compra de material de pintura do recesso</t>
  </si>
  <si>
    <t>000072536 - MATERIAIS DE CONSTRUCAO DINO LTDA - Compra de material de pintura no recesso</t>
  </si>
  <si>
    <t>000000432 - AVANT REFRIGERACAO E CONSTRUCAO LTDA - Material para unidade.</t>
  </si>
  <si>
    <t>000006865 - UNI ESTRELA COMERCIO DE TINTAS LTDA - Pintura do recesso</t>
  </si>
  <si>
    <t>000004607 - POWER LIGHT COMERCIAL LTDA - Material para unidade</t>
  </si>
  <si>
    <t>000003347 - Grm - Tecnologia e Servicos LTDA - Compra de carrinho de carregamento de notebook</t>
  </si>
  <si>
    <t>000000008 - 61.566.562 LARISSA HEVIA LIMA DONOLA - Serviço mensal: Execução das demandas internas dos projetos de automatização dentro de P&amp;C(DP) e suporte e consultoria internas das demandas operacionais de todas as cadeiras do DP. Contrato no valor</t>
  </si>
  <si>
    <t>000004035 - MARCELLE DE ALMEIDA GAUDARD - reembolso referente aos tickets de compra 104101104685</t>
  </si>
  <si>
    <t>000000872 - POWER DE IRAJA COMERCIAL LTDA - Material para unidade</t>
  </si>
  <si>
    <t>000004601 - POWER LIGHT COMERCIAL LTDA - Material para unidade.</t>
  </si>
  <si>
    <t>000003369 - FILTRACON REFRIGERACAO E CONSTRUCAO LTDA. - Material para unidade</t>
  </si>
  <si>
    <t>000000001 - JLO CAROLINO ASSESSORIA CONTABIL - Serviços contábeis e fiscais realizados no mês de dezembro/2025</t>
  </si>
  <si>
    <t>000000003 - RAFAEL RASSI LIRA APOIO ADMINISTRATIVO LTDA - Serviço de auditoria educacional em Dez/25</t>
  </si>
  <si>
    <t>000020261 - MALVES CONTABILIDADE LTDA - Segue NF referente ao serviço prestado ao DP mensalmente. Caso haja atraso. o boleto pode ser quitado via QRCode presente no documento.</t>
  </si>
  <si>
    <t>2026-01-000000010 - 63.257.264 MANUELLA MANHAES PAURA - Pagamento para 07</t>
  </si>
  <si>
    <t>000000002 - ADRIANA HASSIN SILVA LTDA - referente ajuste de proposta janeiro 2026</t>
  </si>
  <si>
    <t>000020263 - ANDRE GUSMAN DE OLIVEIRA LTDA - Parcela 13o de 2025</t>
  </si>
  <si>
    <t>Sim</t>
  </si>
  <si>
    <t>4.2.1.05.01.09</t>
  </si>
  <si>
    <t>4.2.1.03.01.06</t>
  </si>
  <si>
    <t>4.2.1.02.06.02</t>
  </si>
  <si>
    <t>1.2.3.01.01.01</t>
  </si>
  <si>
    <t>4.2.1.02.01.03</t>
  </si>
  <si>
    <t>4.2.1.01.03.05</t>
  </si>
  <si>
    <t>4.2.1.07.01.01</t>
  </si>
  <si>
    <t>4.2.1.02.04.05</t>
  </si>
  <si>
    <t>4.2.1.02.01.08</t>
  </si>
  <si>
    <t>4.2.1.02.01.29</t>
  </si>
  <si>
    <t>4.1.2.01.01.08</t>
  </si>
  <si>
    <t>4.2.1.04.01.01</t>
  </si>
  <si>
    <t>4.2.1.04.01.02</t>
  </si>
  <si>
    <t>4.2.1.04.01.06</t>
  </si>
  <si>
    <t>4.2.1.02.04.02</t>
  </si>
  <si>
    <t>4.2.1.02.04.01</t>
  </si>
  <si>
    <t>4.2.1.02.06.13</t>
  </si>
  <si>
    <t>4.2.1.07.01.07</t>
  </si>
  <si>
    <t>4.2.1.02.02.01</t>
  </si>
  <si>
    <t>4.2.1.01.03.01</t>
  </si>
  <si>
    <t>4.2.1.02.03.99</t>
  </si>
  <si>
    <t>4.2.1.02.03.10</t>
  </si>
  <si>
    <t>4.2.1.02.03.06</t>
  </si>
  <si>
    <t>4.2.1.02.05.05</t>
  </si>
  <si>
    <t>4.1.2.03.01.06</t>
  </si>
  <si>
    <t>4.2.1.02.06.07</t>
  </si>
  <si>
    <t>4.2.1.02.05.04</t>
  </si>
  <si>
    <t>4.2.1.11.01.03</t>
  </si>
  <si>
    <t>4.1.2.02.01.07</t>
  </si>
  <si>
    <t>4.2.1.03.01.01</t>
  </si>
  <si>
    <t>4.2.1.03.01.99</t>
  </si>
  <si>
    <t>4.2.1.02.02.04</t>
  </si>
  <si>
    <t>4.2.1.03.01.15</t>
  </si>
  <si>
    <t>4.2.1.03.01.04</t>
  </si>
  <si>
    <t>4.2.1.02.02.06</t>
  </si>
  <si>
    <t>4.2.1.03.01.18</t>
  </si>
  <si>
    <t>DESPESAS</t>
  </si>
  <si>
    <t>CUSTOS</t>
  </si>
  <si>
    <t>CAPEX</t>
  </si>
  <si>
    <t>RES_FIN</t>
  </si>
  <si>
    <t>Marketing</t>
  </si>
  <si>
    <t>Materiais de Consumo</t>
  </si>
  <si>
    <t>Despesa com Serviços de Terceiros</t>
  </si>
  <si>
    <t>Benfeitoria</t>
  </si>
  <si>
    <t>Funcionários Administrativos</t>
  </si>
  <si>
    <t>Outras Despesas</t>
  </si>
  <si>
    <t>Serviços Públicos</t>
  </si>
  <si>
    <t>Imoveis</t>
  </si>
  <si>
    <t>Custo de Eventos com Receita</t>
  </si>
  <si>
    <t>Resultado Financeiro</t>
  </si>
  <si>
    <t>Custo com Materiais</t>
  </si>
  <si>
    <t>Marketing Interno</t>
  </si>
  <si>
    <t>Despesas com Material de Consumo</t>
  </si>
  <si>
    <t>Despesas com Transporte</t>
  </si>
  <si>
    <t>Servicos Profissionais PJ</t>
  </si>
  <si>
    <t>Beneficios aos Funcionarios</t>
  </si>
  <si>
    <t>HONORÁRIOS &amp; CUSTAS PROCESSUAIS</t>
  </si>
  <si>
    <t>Utilidades e Serviços</t>
  </si>
  <si>
    <t>Servicos Profissionais e Contratados</t>
  </si>
  <si>
    <t>Remuneração Administrativos</t>
  </si>
  <si>
    <t>Materiais)-Manutenção(Serviços-Desp.c</t>
  </si>
  <si>
    <t>Servicos Contratados de Pessoas e Cultura</t>
  </si>
  <si>
    <t>Eventos</t>
  </si>
  <si>
    <t>Despesas com Viagens</t>
  </si>
  <si>
    <t>Receitas Financeiras</t>
  </si>
  <si>
    <t>Custo com Material Didatico</t>
  </si>
  <si>
    <t>Publicidade</t>
  </si>
  <si>
    <t>Uniformes- Confecções -Vestuário</t>
  </si>
  <si>
    <t>Aluguel de Veiculo</t>
  </si>
  <si>
    <t>Imobilizado em Andamento</t>
  </si>
  <si>
    <t>Serviços Prestados PJ</t>
  </si>
  <si>
    <t>Vale Transporte (VT) de Funcionarios</t>
  </si>
  <si>
    <t>Perdas e Encargos de Processos Judiciais</t>
  </si>
  <si>
    <t>Telecomunicação/Internet</t>
  </si>
  <si>
    <t>Serviços Fotográficos</t>
  </si>
  <si>
    <t>Licença de Uso de Software</t>
  </si>
  <si>
    <t>Outros - Servicos Terceirizados</t>
  </si>
  <si>
    <t>Aluguel</t>
  </si>
  <si>
    <t>IPTU</t>
  </si>
  <si>
    <t>Condominio</t>
  </si>
  <si>
    <t>Água e Esgoto</t>
  </si>
  <si>
    <t>Energia Elétrica</t>
  </si>
  <si>
    <t>Despesas com Condução</t>
  </si>
  <si>
    <t>Lanches e Refeições</t>
  </si>
  <si>
    <t>Manut Edificações Instal. e Laboratórios</t>
  </si>
  <si>
    <t>Cursos de Formacao/Treinamento de Funcio</t>
  </si>
  <si>
    <t>Outros - Eventos</t>
  </si>
  <si>
    <t>Promoções e Eventos</t>
  </si>
  <si>
    <t>Celebrações e Comemoração</t>
  </si>
  <si>
    <t>Transporte em Viagem</t>
  </si>
  <si>
    <t>Outros Serviços c/ Eventos</t>
  </si>
  <si>
    <t>Estadias e Garagens \ Estacionamento</t>
  </si>
  <si>
    <t>Lanches/Refeições em Viagens</t>
  </si>
  <si>
    <t>Descontos Obtidos</t>
  </si>
  <si>
    <t>Copa e Alimentos</t>
  </si>
  <si>
    <t>Outros - Materiais de Operacao</t>
  </si>
  <si>
    <t>Manut Equip Telefônico</t>
  </si>
  <si>
    <t>Material Elétrico - Hidráulico</t>
  </si>
  <si>
    <t>Material Informática</t>
  </si>
  <si>
    <t>Manut de Móveis e Reformas</t>
  </si>
  <si>
    <t>Sinalização-Utens-Pequenas Ferramentas</t>
  </si>
  <si>
    <t>Material de Consumo &amp; Operações</t>
  </si>
  <si>
    <t>Folha (Funcionários)</t>
  </si>
  <si>
    <t>Jurídico &amp; Auditoria</t>
  </si>
  <si>
    <t>Sistemas &amp; Tecnologia</t>
  </si>
  <si>
    <t>Eventos Comerciais</t>
  </si>
  <si>
    <t>Imóveis</t>
  </si>
  <si>
    <t>Água &amp; Gás</t>
  </si>
  <si>
    <t>Energia</t>
  </si>
  <si>
    <t>Manutenção &amp; Conservação</t>
  </si>
  <si>
    <t>Pedagógico</t>
  </si>
  <si>
    <t>Material Didático &amp; Frete</t>
  </si>
  <si>
    <t>Outros</t>
  </si>
  <si>
    <t>Original</t>
  </si>
  <si>
    <t>Real</t>
  </si>
  <si>
    <t>COMERCIAL</t>
  </si>
  <si>
    <t>Gerência de Gestão de Pessoas</t>
  </si>
  <si>
    <t>CSC OPERAÇÕES</t>
  </si>
  <si>
    <t>SARAH DAWSEY - TIJUCA</t>
  </si>
  <si>
    <t>CSC DP</t>
  </si>
  <si>
    <t>CSC JURÍDICO</t>
  </si>
  <si>
    <t>CSC TI</t>
  </si>
  <si>
    <t>CSC PEDAGÓGICO/DCIP</t>
  </si>
  <si>
    <t>CSC RH</t>
  </si>
  <si>
    <t>CSC - FINANCEIRO</t>
  </si>
  <si>
    <t>PESSOAL PJ</t>
  </si>
  <si>
    <t>Comercial</t>
  </si>
  <si>
    <t>APOGEU - MANUTENÇÃO</t>
  </si>
  <si>
    <t>CSC TREINAMENTO E CAPACITAÇÃO</t>
  </si>
  <si>
    <t>CSC INSTITUCIONAL</t>
  </si>
  <si>
    <t>CSC - ALMOXARIFADO/MANUTENÇÃO.</t>
  </si>
  <si>
    <t>CSC - NOVA SEDE</t>
  </si>
  <si>
    <t>APOGEU - APOIO DE OPERAÇÕES (CORREIO. UBER. MAT. ESCRITÓRIO)</t>
  </si>
  <si>
    <t>bruna.martins</t>
  </si>
  <si>
    <t>rosangela.amancio</t>
  </si>
  <si>
    <t>p_heflo</t>
  </si>
  <si>
    <t>1-38503</t>
  </si>
  <si>
    <t>1-38539</t>
  </si>
  <si>
    <t>1-38540</t>
  </si>
  <si>
    <t>1-38543</t>
  </si>
  <si>
    <t>1-38548</t>
  </si>
  <si>
    <t>1-38553</t>
  </si>
  <si>
    <t>1-38554</t>
  </si>
  <si>
    <t>1-38555</t>
  </si>
  <si>
    <t>1-38556</t>
  </si>
  <si>
    <t>1-38560</t>
  </si>
  <si>
    <t>1-38561</t>
  </si>
  <si>
    <t>1-38564</t>
  </si>
  <si>
    <t>1-38568</t>
  </si>
  <si>
    <t>1-38569</t>
  </si>
  <si>
    <t>1-38570</t>
  </si>
  <si>
    <t>1-38572</t>
  </si>
  <si>
    <t>1-38574</t>
  </si>
  <si>
    <t>1-38578</t>
  </si>
  <si>
    <t>1-38580</t>
  </si>
  <si>
    <t>1-38598</t>
  </si>
  <si>
    <t>1-38604</t>
  </si>
  <si>
    <t>1-38605</t>
  </si>
  <si>
    <t>1-38606</t>
  </si>
  <si>
    <t>1-38607</t>
  </si>
  <si>
    <t>1-38608</t>
  </si>
  <si>
    <t>1-38610</t>
  </si>
  <si>
    <t>1-38611</t>
  </si>
  <si>
    <t>1-38612</t>
  </si>
  <si>
    <t>1-38613</t>
  </si>
  <si>
    <t>1-38615</t>
  </si>
  <si>
    <t>1-38617</t>
  </si>
  <si>
    <t>1-38618</t>
  </si>
  <si>
    <t>1-38620</t>
  </si>
  <si>
    <t>1-38623</t>
  </si>
  <si>
    <t>1-38627</t>
  </si>
  <si>
    <t>1-38631</t>
  </si>
  <si>
    <t>1-38632</t>
  </si>
  <si>
    <t>1-38633</t>
  </si>
  <si>
    <t>1-38637</t>
  </si>
  <si>
    <t>1-38638</t>
  </si>
  <si>
    <t>1-38639</t>
  </si>
  <si>
    <t>1-38640</t>
  </si>
  <si>
    <t>1-38643</t>
  </si>
  <si>
    <t>1-38644</t>
  </si>
  <si>
    <t>1-38645</t>
  </si>
  <si>
    <t>1-38646</t>
  </si>
  <si>
    <t>1-38647</t>
  </si>
  <si>
    <t>1-38648</t>
  </si>
  <si>
    <t>1-38650</t>
  </si>
  <si>
    <t>1-38651</t>
  </si>
  <si>
    <t>1-38652</t>
  </si>
  <si>
    <t>1-38653</t>
  </si>
  <si>
    <t>1-38655</t>
  </si>
  <si>
    <t>1-38658</t>
  </si>
  <si>
    <t>1-38660</t>
  </si>
  <si>
    <t>1-38661</t>
  </si>
  <si>
    <t>1-38662</t>
  </si>
  <si>
    <t>1-38664</t>
  </si>
  <si>
    <t>1-38666</t>
  </si>
  <si>
    <t>1-38668</t>
  </si>
  <si>
    <t>1-38669</t>
  </si>
  <si>
    <t>1-38671</t>
  </si>
  <si>
    <t>1-38672</t>
  </si>
  <si>
    <t>1-38673</t>
  </si>
  <si>
    <t>1-38674</t>
  </si>
  <si>
    <t>1-38676</t>
  </si>
  <si>
    <t>1-38681</t>
  </si>
  <si>
    <t>1-38684</t>
  </si>
  <si>
    <t>1-38686</t>
  </si>
  <si>
    <t>1-38689</t>
  </si>
  <si>
    <t>1-38690</t>
  </si>
  <si>
    <t>1-38691</t>
  </si>
  <si>
    <t>1-38692</t>
  </si>
  <si>
    <t>1-38693</t>
  </si>
  <si>
    <t>1-38695</t>
  </si>
  <si>
    <t>1-38701</t>
  </si>
  <si>
    <t>1-38704</t>
  </si>
  <si>
    <t>1-38705</t>
  </si>
  <si>
    <t>1-38706</t>
  </si>
  <si>
    <t>1-38719</t>
  </si>
  <si>
    <t>1-38720</t>
  </si>
  <si>
    <t>1-38722</t>
  </si>
  <si>
    <t>1-38723</t>
  </si>
  <si>
    <t>1-38724</t>
  </si>
  <si>
    <t>1-38726</t>
  </si>
  <si>
    <t xml:space="preserve">ficou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</si>
</sst>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5"/>
  <sheetViews>
    <sheetView tabSelected="1" topLeftCell="K1" workbookViewId="0">
      <selection activeCell="S8" sqref="S8"/>
    </sheetView>
  </sheetViews>
  <sheetFormatPr defaultRowHeight="14.4" x14ac:dyDescent="0.3"/>
  <cols>
    <col min="27" max="27" width="15.6640625" customWidth="1"/>
    <col min="28" max="28" width="20.88671875" customWidth="1"/>
    <col min="29" max="29" width="23.88671875" bestFit="1" customWidth="1"/>
    <col min="30" max="30" width="18.5546875" bestFit="1" customWidth="1"/>
    <col min="31" max="31" width="11.77734375" bestFit="1" customWidth="1"/>
    <col min="32" max="32" width="25" bestFit="1" customWidth="1"/>
    <col min="33" max="33" width="19.8867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</row>
    <row r="2" spans="1:33" x14ac:dyDescent="0.3">
      <c r="A2">
        <v>89841612746</v>
      </c>
      <c r="B2">
        <v>0</v>
      </c>
      <c r="C2" t="s">
        <v>33</v>
      </c>
      <c r="D2" t="s">
        <v>34</v>
      </c>
      <c r="E2" t="s">
        <v>36</v>
      </c>
      <c r="F2">
        <v>612746</v>
      </c>
      <c r="H2" t="s">
        <v>42</v>
      </c>
      <c r="I2">
        <v>202601</v>
      </c>
      <c r="J2">
        <v>-25666.67</v>
      </c>
      <c r="K2" t="s">
        <v>116</v>
      </c>
      <c r="L2" t="s">
        <v>201</v>
      </c>
      <c r="M2" t="s">
        <v>202</v>
      </c>
      <c r="N2" t="s">
        <v>238</v>
      </c>
      <c r="O2" t="s">
        <v>242</v>
      </c>
      <c r="P2" t="s">
        <v>253</v>
      </c>
      <c r="Q2" t="s">
        <v>268</v>
      </c>
      <c r="R2" t="s">
        <v>268</v>
      </c>
      <c r="S2" t="s">
        <v>315</v>
      </c>
      <c r="T2" t="s">
        <v>316</v>
      </c>
      <c r="U2" t="s">
        <v>317</v>
      </c>
      <c r="V2">
        <v>1</v>
      </c>
      <c r="W2">
        <v>1</v>
      </c>
      <c r="X2" t="s">
        <v>335</v>
      </c>
      <c r="Y2" t="s">
        <v>202</v>
      </c>
      <c r="Z2" t="s">
        <v>238</v>
      </c>
      <c r="AA2" t="s">
        <v>268</v>
      </c>
      <c r="AB2" t="s">
        <v>268</v>
      </c>
      <c r="AC2">
        <v>38503</v>
      </c>
      <c r="AD2" t="s">
        <v>338</v>
      </c>
      <c r="AE2">
        <v>1</v>
      </c>
      <c r="AF2">
        <f>COUNTIF(AD:AD,AD2)</f>
        <v>1</v>
      </c>
      <c r="AG2">
        <v>202601</v>
      </c>
    </row>
    <row r="3" spans="1:33" x14ac:dyDescent="0.3">
      <c r="A3">
        <v>89778612610</v>
      </c>
      <c r="B3">
        <v>1201</v>
      </c>
      <c r="C3" t="s">
        <v>33</v>
      </c>
      <c r="D3" t="s">
        <v>34</v>
      </c>
      <c r="E3" t="s">
        <v>37</v>
      </c>
      <c r="F3">
        <v>612610</v>
      </c>
      <c r="G3">
        <v>97631</v>
      </c>
      <c r="H3" t="s">
        <v>43</v>
      </c>
      <c r="I3">
        <v>202601</v>
      </c>
      <c r="J3">
        <v>-3150</v>
      </c>
      <c r="K3" t="s">
        <v>117</v>
      </c>
      <c r="L3" t="s">
        <v>201</v>
      </c>
      <c r="M3" t="s">
        <v>203</v>
      </c>
      <c r="N3" t="s">
        <v>239</v>
      </c>
      <c r="O3" t="s">
        <v>243</v>
      </c>
      <c r="P3" t="s">
        <v>254</v>
      </c>
      <c r="Q3" t="s">
        <v>269</v>
      </c>
      <c r="R3" t="s">
        <v>303</v>
      </c>
      <c r="S3" t="s">
        <v>315</v>
      </c>
      <c r="T3" t="s">
        <v>316</v>
      </c>
      <c r="U3" t="s">
        <v>318</v>
      </c>
      <c r="V3">
        <v>1</v>
      </c>
      <c r="W3">
        <v>1</v>
      </c>
      <c r="X3" t="s">
        <v>336</v>
      </c>
      <c r="Y3" t="s">
        <v>203</v>
      </c>
      <c r="Z3" t="s">
        <v>239</v>
      </c>
      <c r="AA3" t="s">
        <v>269</v>
      </c>
      <c r="AB3" t="s">
        <v>303</v>
      </c>
      <c r="AC3">
        <v>38539</v>
      </c>
      <c r="AD3" t="s">
        <v>339</v>
      </c>
      <c r="AE3">
        <v>1</v>
      </c>
      <c r="AF3">
        <f t="shared" ref="AF3:AF66" si="0">COUNTIF(AD:AD,AD3)</f>
        <v>1</v>
      </c>
      <c r="AG3">
        <v>202601</v>
      </c>
    </row>
    <row r="4" spans="1:33" x14ac:dyDescent="0.3">
      <c r="A4">
        <v>89779612612</v>
      </c>
      <c r="B4">
        <v>1216</v>
      </c>
      <c r="C4" t="s">
        <v>33</v>
      </c>
      <c r="D4" t="s">
        <v>34</v>
      </c>
      <c r="E4" t="s">
        <v>37</v>
      </c>
      <c r="F4">
        <v>612612</v>
      </c>
      <c r="G4">
        <v>118679</v>
      </c>
      <c r="H4" t="s">
        <v>44</v>
      </c>
      <c r="I4">
        <v>202601</v>
      </c>
      <c r="J4">
        <v>-3809.23</v>
      </c>
      <c r="K4" t="s">
        <v>118</v>
      </c>
      <c r="L4" t="s">
        <v>201</v>
      </c>
      <c r="M4" t="s">
        <v>204</v>
      </c>
      <c r="N4" t="s">
        <v>239</v>
      </c>
      <c r="O4" t="s">
        <v>244</v>
      </c>
      <c r="P4" t="s">
        <v>255</v>
      </c>
      <c r="Q4" t="s">
        <v>270</v>
      </c>
      <c r="R4" t="s">
        <v>303</v>
      </c>
      <c r="S4" t="s">
        <v>315</v>
      </c>
      <c r="T4" t="s">
        <v>316</v>
      </c>
      <c r="U4" t="s">
        <v>319</v>
      </c>
      <c r="V4">
        <v>1</v>
      </c>
      <c r="W4">
        <v>1</v>
      </c>
      <c r="X4" t="s">
        <v>337</v>
      </c>
      <c r="Y4" t="s">
        <v>204</v>
      </c>
      <c r="Z4" t="s">
        <v>239</v>
      </c>
      <c r="AA4" t="s">
        <v>270</v>
      </c>
      <c r="AB4" t="s">
        <v>303</v>
      </c>
      <c r="AC4">
        <v>38540</v>
      </c>
      <c r="AD4" t="s">
        <v>340</v>
      </c>
      <c r="AE4">
        <v>1</v>
      </c>
      <c r="AF4">
        <f t="shared" si="0"/>
        <v>1</v>
      </c>
      <c r="AG4">
        <v>202601</v>
      </c>
    </row>
    <row r="5" spans="1:33" x14ac:dyDescent="0.3">
      <c r="A5">
        <v>89780612614</v>
      </c>
      <c r="B5">
        <v>1201</v>
      </c>
      <c r="C5" t="s">
        <v>33</v>
      </c>
      <c r="D5" t="s">
        <v>34</v>
      </c>
      <c r="E5" t="s">
        <v>37</v>
      </c>
      <c r="F5">
        <v>612614</v>
      </c>
      <c r="G5">
        <v>118639</v>
      </c>
      <c r="H5" t="s">
        <v>45</v>
      </c>
      <c r="I5">
        <v>202601</v>
      </c>
      <c r="J5">
        <v>-25999.9</v>
      </c>
      <c r="K5" t="s">
        <v>119</v>
      </c>
      <c r="L5" t="s">
        <v>201</v>
      </c>
      <c r="M5" t="s">
        <v>205</v>
      </c>
      <c r="N5" t="s">
        <v>240</v>
      </c>
      <c r="O5" t="s">
        <v>245</v>
      </c>
      <c r="P5" t="s">
        <v>245</v>
      </c>
      <c r="Q5" t="s">
        <v>271</v>
      </c>
      <c r="R5" t="s">
        <v>240</v>
      </c>
      <c r="S5" t="s">
        <v>315</v>
      </c>
      <c r="T5" t="s">
        <v>316</v>
      </c>
      <c r="U5" t="s">
        <v>320</v>
      </c>
      <c r="V5">
        <v>1</v>
      </c>
      <c r="W5">
        <v>1</v>
      </c>
      <c r="X5" t="s">
        <v>337</v>
      </c>
      <c r="Y5" t="s">
        <v>205</v>
      </c>
      <c r="Z5" t="s">
        <v>240</v>
      </c>
      <c r="AA5" t="s">
        <v>271</v>
      </c>
      <c r="AB5" t="s">
        <v>240</v>
      </c>
      <c r="AC5">
        <v>38543</v>
      </c>
      <c r="AD5" t="s">
        <v>341</v>
      </c>
      <c r="AE5">
        <v>1</v>
      </c>
      <c r="AF5">
        <f t="shared" si="0"/>
        <v>1</v>
      </c>
      <c r="AG5">
        <v>202601</v>
      </c>
    </row>
    <row r="6" spans="1:33" x14ac:dyDescent="0.3">
      <c r="A6">
        <v>89782612618</v>
      </c>
      <c r="B6">
        <v>1203</v>
      </c>
      <c r="C6" t="s">
        <v>33</v>
      </c>
      <c r="D6" t="s">
        <v>34</v>
      </c>
      <c r="E6" t="s">
        <v>37</v>
      </c>
      <c r="F6">
        <v>612618</v>
      </c>
      <c r="G6">
        <v>113245</v>
      </c>
      <c r="H6" t="s">
        <v>46</v>
      </c>
      <c r="I6">
        <v>202601</v>
      </c>
      <c r="J6">
        <v>-64693.35</v>
      </c>
      <c r="K6" t="s">
        <v>120</v>
      </c>
      <c r="L6" t="s">
        <v>201</v>
      </c>
      <c r="M6" t="s">
        <v>206</v>
      </c>
      <c r="N6" t="s">
        <v>239</v>
      </c>
      <c r="O6" t="s">
        <v>244</v>
      </c>
      <c r="P6" t="s">
        <v>256</v>
      </c>
      <c r="Q6" t="s">
        <v>272</v>
      </c>
      <c r="R6" t="s">
        <v>304</v>
      </c>
      <c r="S6" t="s">
        <v>315</v>
      </c>
      <c r="T6" t="s">
        <v>316</v>
      </c>
      <c r="U6" t="s">
        <v>321</v>
      </c>
      <c r="V6">
        <v>1</v>
      </c>
      <c r="W6">
        <v>1</v>
      </c>
      <c r="X6" t="s">
        <v>337</v>
      </c>
      <c r="Y6" t="s">
        <v>206</v>
      </c>
      <c r="Z6" t="s">
        <v>239</v>
      </c>
      <c r="AA6" t="s">
        <v>272</v>
      </c>
      <c r="AB6" t="s">
        <v>304</v>
      </c>
      <c r="AC6">
        <v>38548</v>
      </c>
      <c r="AD6" t="s">
        <v>342</v>
      </c>
      <c r="AE6">
        <v>1</v>
      </c>
      <c r="AF6">
        <f t="shared" si="0"/>
        <v>1</v>
      </c>
      <c r="AG6">
        <v>202601</v>
      </c>
    </row>
    <row r="7" spans="1:33" x14ac:dyDescent="0.3">
      <c r="A7">
        <v>89783612620</v>
      </c>
      <c r="B7">
        <v>1216</v>
      </c>
      <c r="C7" t="s">
        <v>33</v>
      </c>
      <c r="D7" t="s">
        <v>34</v>
      </c>
      <c r="E7" t="s">
        <v>37</v>
      </c>
      <c r="F7">
        <v>612620</v>
      </c>
      <c r="G7">
        <v>118599</v>
      </c>
      <c r="H7" t="s">
        <v>47</v>
      </c>
      <c r="I7">
        <v>202601</v>
      </c>
      <c r="J7">
        <v>-1000</v>
      </c>
      <c r="K7" t="s">
        <v>121</v>
      </c>
      <c r="L7" t="s">
        <v>201</v>
      </c>
      <c r="M7" t="s">
        <v>207</v>
      </c>
      <c r="N7" t="s">
        <v>239</v>
      </c>
      <c r="O7" t="s">
        <v>246</v>
      </c>
      <c r="P7" t="s">
        <v>257</v>
      </c>
      <c r="Q7" t="s">
        <v>273</v>
      </c>
      <c r="R7" t="s">
        <v>304</v>
      </c>
      <c r="S7" t="s">
        <v>315</v>
      </c>
      <c r="T7" t="s">
        <v>316</v>
      </c>
      <c r="U7" t="s">
        <v>321</v>
      </c>
      <c r="V7">
        <v>1</v>
      </c>
      <c r="W7">
        <v>1</v>
      </c>
      <c r="X7" t="s">
        <v>336</v>
      </c>
      <c r="Y7" t="s">
        <v>207</v>
      </c>
      <c r="Z7" t="s">
        <v>239</v>
      </c>
      <c r="AA7" t="s">
        <v>273</v>
      </c>
      <c r="AB7" t="s">
        <v>304</v>
      </c>
      <c r="AC7">
        <v>38553</v>
      </c>
      <c r="AD7" t="s">
        <v>343</v>
      </c>
      <c r="AE7">
        <v>1</v>
      </c>
      <c r="AF7">
        <f t="shared" si="0"/>
        <v>1</v>
      </c>
      <c r="AG7">
        <v>202601</v>
      </c>
    </row>
    <row r="8" spans="1:33" x14ac:dyDescent="0.3">
      <c r="A8">
        <v>89784612622</v>
      </c>
      <c r="B8">
        <v>1203</v>
      </c>
      <c r="C8" t="s">
        <v>33</v>
      </c>
      <c r="D8" t="s">
        <v>34</v>
      </c>
      <c r="E8" t="s">
        <v>37</v>
      </c>
      <c r="F8">
        <v>612622</v>
      </c>
      <c r="G8">
        <v>118252</v>
      </c>
      <c r="H8" t="s">
        <v>48</v>
      </c>
      <c r="I8">
        <v>202601</v>
      </c>
      <c r="J8">
        <v>-48318.2</v>
      </c>
      <c r="K8" t="s">
        <v>122</v>
      </c>
      <c r="L8" t="s">
        <v>201</v>
      </c>
      <c r="M8" t="s">
        <v>205</v>
      </c>
      <c r="N8" t="s">
        <v>240</v>
      </c>
      <c r="O8" t="s">
        <v>245</v>
      </c>
      <c r="P8" t="s">
        <v>245</v>
      </c>
      <c r="Q8" t="s">
        <v>271</v>
      </c>
      <c r="R8" t="s">
        <v>240</v>
      </c>
      <c r="S8" t="s">
        <v>315</v>
      </c>
      <c r="T8" t="s">
        <v>316</v>
      </c>
      <c r="U8" t="s">
        <v>320</v>
      </c>
      <c r="V8">
        <v>1</v>
      </c>
      <c r="W8">
        <v>1</v>
      </c>
      <c r="X8" t="s">
        <v>337</v>
      </c>
      <c r="Y8" t="s">
        <v>205</v>
      </c>
      <c r="Z8" t="s">
        <v>240</v>
      </c>
      <c r="AA8" t="s">
        <v>271</v>
      </c>
      <c r="AB8" t="s">
        <v>240</v>
      </c>
      <c r="AC8">
        <v>38554</v>
      </c>
      <c r="AD8" t="s">
        <v>344</v>
      </c>
      <c r="AE8">
        <v>1</v>
      </c>
      <c r="AF8">
        <f t="shared" si="0"/>
        <v>1</v>
      </c>
      <c r="AG8">
        <v>202601</v>
      </c>
    </row>
    <row r="9" spans="1:33" x14ac:dyDescent="0.3">
      <c r="A9">
        <v>89785612624</v>
      </c>
      <c r="B9">
        <v>1203</v>
      </c>
      <c r="C9" t="s">
        <v>33</v>
      </c>
      <c r="D9" t="s">
        <v>34</v>
      </c>
      <c r="E9" t="s">
        <v>37</v>
      </c>
      <c r="F9">
        <v>612624</v>
      </c>
      <c r="G9">
        <v>118251</v>
      </c>
      <c r="H9" t="s">
        <v>49</v>
      </c>
      <c r="I9">
        <v>202601</v>
      </c>
      <c r="J9">
        <v>-15800</v>
      </c>
      <c r="K9" t="s">
        <v>123</v>
      </c>
      <c r="L9" t="s">
        <v>201</v>
      </c>
      <c r="M9" t="s">
        <v>205</v>
      </c>
      <c r="N9" t="s">
        <v>240</v>
      </c>
      <c r="O9" t="s">
        <v>245</v>
      </c>
      <c r="P9" t="s">
        <v>245</v>
      </c>
      <c r="Q9" t="s">
        <v>271</v>
      </c>
      <c r="R9" t="s">
        <v>240</v>
      </c>
      <c r="S9" t="s">
        <v>315</v>
      </c>
      <c r="T9" t="s">
        <v>316</v>
      </c>
      <c r="U9" t="s">
        <v>320</v>
      </c>
      <c r="V9">
        <v>1</v>
      </c>
      <c r="W9">
        <v>1</v>
      </c>
      <c r="X9" t="s">
        <v>337</v>
      </c>
      <c r="Y9" t="s">
        <v>205</v>
      </c>
      <c r="Z9" t="s">
        <v>240</v>
      </c>
      <c r="AA9" t="s">
        <v>271</v>
      </c>
      <c r="AB9" t="s">
        <v>240</v>
      </c>
      <c r="AC9">
        <v>38555</v>
      </c>
      <c r="AD9" t="s">
        <v>345</v>
      </c>
      <c r="AE9">
        <v>1</v>
      </c>
      <c r="AF9">
        <f t="shared" si="0"/>
        <v>1</v>
      </c>
      <c r="AG9">
        <v>202601</v>
      </c>
    </row>
    <row r="10" spans="1:33" x14ac:dyDescent="0.3">
      <c r="A10">
        <v>89786612626</v>
      </c>
      <c r="B10">
        <v>1201</v>
      </c>
      <c r="C10" t="s">
        <v>33</v>
      </c>
      <c r="D10" t="s">
        <v>34</v>
      </c>
      <c r="E10" t="s">
        <v>37</v>
      </c>
      <c r="F10">
        <v>612626</v>
      </c>
      <c r="G10">
        <v>118249</v>
      </c>
      <c r="H10" t="s">
        <v>50</v>
      </c>
      <c r="I10">
        <v>202601</v>
      </c>
      <c r="J10">
        <v>-2799</v>
      </c>
      <c r="K10" t="s">
        <v>124</v>
      </c>
      <c r="L10" t="s">
        <v>201</v>
      </c>
      <c r="M10" t="s">
        <v>205</v>
      </c>
      <c r="N10" t="s">
        <v>240</v>
      </c>
      <c r="O10" t="s">
        <v>245</v>
      </c>
      <c r="P10" t="s">
        <v>245</v>
      </c>
      <c r="Q10" t="s">
        <v>271</v>
      </c>
      <c r="R10" t="s">
        <v>240</v>
      </c>
      <c r="S10" t="s">
        <v>315</v>
      </c>
      <c r="T10" t="s">
        <v>316</v>
      </c>
      <c r="U10" t="s">
        <v>320</v>
      </c>
      <c r="V10">
        <v>1</v>
      </c>
      <c r="W10">
        <v>1</v>
      </c>
      <c r="X10" t="s">
        <v>337</v>
      </c>
      <c r="Y10" t="s">
        <v>205</v>
      </c>
      <c r="Z10" t="s">
        <v>240</v>
      </c>
      <c r="AA10" t="s">
        <v>271</v>
      </c>
      <c r="AB10" t="s">
        <v>240</v>
      </c>
      <c r="AC10">
        <v>38556</v>
      </c>
      <c r="AD10" t="s">
        <v>346</v>
      </c>
      <c r="AE10">
        <v>1</v>
      </c>
      <c r="AF10">
        <f t="shared" si="0"/>
        <v>1</v>
      </c>
      <c r="AG10">
        <v>202601</v>
      </c>
    </row>
    <row r="11" spans="1:33" x14ac:dyDescent="0.3">
      <c r="A11">
        <v>89787612628</v>
      </c>
      <c r="B11">
        <v>1216</v>
      </c>
      <c r="C11" t="s">
        <v>33</v>
      </c>
      <c r="D11" t="s">
        <v>34</v>
      </c>
      <c r="E11" t="s">
        <v>37</v>
      </c>
      <c r="F11">
        <v>612628</v>
      </c>
      <c r="G11">
        <v>118225</v>
      </c>
      <c r="H11" t="s">
        <v>51</v>
      </c>
      <c r="I11">
        <v>202601</v>
      </c>
      <c r="J11">
        <v>-5187.4799999999996</v>
      </c>
      <c r="K11" t="s">
        <v>125</v>
      </c>
      <c r="L11" t="s">
        <v>201</v>
      </c>
      <c r="M11" t="s">
        <v>208</v>
      </c>
      <c r="N11" t="s">
        <v>238</v>
      </c>
      <c r="O11" t="s">
        <v>247</v>
      </c>
      <c r="P11" t="s">
        <v>258</v>
      </c>
      <c r="Q11" t="s">
        <v>274</v>
      </c>
      <c r="R11" t="s">
        <v>305</v>
      </c>
      <c r="S11" t="s">
        <v>315</v>
      </c>
      <c r="T11" t="s">
        <v>316</v>
      </c>
      <c r="U11" t="s">
        <v>322</v>
      </c>
      <c r="V11">
        <v>1</v>
      </c>
      <c r="W11">
        <v>1</v>
      </c>
      <c r="X11" t="s">
        <v>337</v>
      </c>
      <c r="Y11" t="s">
        <v>208</v>
      </c>
      <c r="Z11" t="s">
        <v>238</v>
      </c>
      <c r="AA11" t="s">
        <v>274</v>
      </c>
      <c r="AB11" t="s">
        <v>305</v>
      </c>
      <c r="AC11">
        <v>38560</v>
      </c>
      <c r="AD11" t="s">
        <v>347</v>
      </c>
      <c r="AE11">
        <v>1</v>
      </c>
      <c r="AF11">
        <f t="shared" si="0"/>
        <v>1</v>
      </c>
      <c r="AG11">
        <v>202601</v>
      </c>
    </row>
    <row r="12" spans="1:33" x14ac:dyDescent="0.3">
      <c r="A12">
        <v>89788612630</v>
      </c>
      <c r="B12">
        <v>1211</v>
      </c>
      <c r="C12" t="s">
        <v>33</v>
      </c>
      <c r="D12" t="s">
        <v>34</v>
      </c>
      <c r="E12" t="s">
        <v>37</v>
      </c>
      <c r="F12">
        <v>612630</v>
      </c>
      <c r="G12">
        <v>118211</v>
      </c>
      <c r="H12" t="s">
        <v>52</v>
      </c>
      <c r="I12">
        <v>202601</v>
      </c>
      <c r="J12">
        <v>-250</v>
      </c>
      <c r="K12" t="s">
        <v>126</v>
      </c>
      <c r="L12" t="s">
        <v>201</v>
      </c>
      <c r="M12" t="s">
        <v>209</v>
      </c>
      <c r="N12" t="s">
        <v>238</v>
      </c>
      <c r="O12" t="s">
        <v>248</v>
      </c>
      <c r="P12" t="s">
        <v>259</v>
      </c>
      <c r="Q12" t="s">
        <v>275</v>
      </c>
      <c r="R12" t="s">
        <v>306</v>
      </c>
      <c r="S12" t="s">
        <v>315</v>
      </c>
      <c r="T12" t="s">
        <v>316</v>
      </c>
      <c r="U12" t="s">
        <v>323</v>
      </c>
      <c r="V12">
        <v>1</v>
      </c>
      <c r="W12">
        <v>1</v>
      </c>
      <c r="X12" t="s">
        <v>337</v>
      </c>
      <c r="Y12" t="s">
        <v>209</v>
      </c>
      <c r="Z12" t="s">
        <v>238</v>
      </c>
      <c r="AA12" t="s">
        <v>275</v>
      </c>
      <c r="AB12" t="s">
        <v>306</v>
      </c>
      <c r="AC12">
        <v>38561</v>
      </c>
      <c r="AD12" t="s">
        <v>348</v>
      </c>
      <c r="AE12">
        <v>1</v>
      </c>
      <c r="AF12">
        <f t="shared" si="0"/>
        <v>1</v>
      </c>
      <c r="AG12">
        <v>202601</v>
      </c>
    </row>
    <row r="13" spans="1:33" x14ac:dyDescent="0.3">
      <c r="A13">
        <v>89789612632</v>
      </c>
      <c r="B13">
        <v>1203</v>
      </c>
      <c r="C13" t="s">
        <v>33</v>
      </c>
      <c r="D13" t="s">
        <v>34</v>
      </c>
      <c r="E13" t="s">
        <v>37</v>
      </c>
      <c r="F13">
        <v>612632</v>
      </c>
      <c r="G13">
        <v>118072</v>
      </c>
      <c r="H13" t="s">
        <v>53</v>
      </c>
      <c r="I13">
        <v>202601</v>
      </c>
      <c r="J13">
        <v>-4900</v>
      </c>
      <c r="K13" t="s">
        <v>127</v>
      </c>
      <c r="L13" t="s">
        <v>201</v>
      </c>
      <c r="M13" t="s">
        <v>210</v>
      </c>
      <c r="N13" t="s">
        <v>238</v>
      </c>
      <c r="O13" t="s">
        <v>244</v>
      </c>
      <c r="P13" t="s">
        <v>260</v>
      </c>
      <c r="Q13" t="s">
        <v>276</v>
      </c>
      <c r="R13" t="s">
        <v>307</v>
      </c>
      <c r="S13" t="s">
        <v>315</v>
      </c>
      <c r="T13" t="s">
        <v>316</v>
      </c>
      <c r="U13" t="s">
        <v>324</v>
      </c>
      <c r="V13">
        <v>1</v>
      </c>
      <c r="W13">
        <v>1</v>
      </c>
      <c r="X13" t="s">
        <v>337</v>
      </c>
      <c r="Y13" t="s">
        <v>210</v>
      </c>
      <c r="Z13" t="s">
        <v>238</v>
      </c>
      <c r="AA13" t="s">
        <v>276</v>
      </c>
      <c r="AB13" t="s">
        <v>307</v>
      </c>
      <c r="AC13">
        <v>38564</v>
      </c>
      <c r="AD13" t="s">
        <v>349</v>
      </c>
      <c r="AE13">
        <v>1</v>
      </c>
      <c r="AF13">
        <f t="shared" si="0"/>
        <v>1</v>
      </c>
      <c r="AG13">
        <v>202601</v>
      </c>
    </row>
    <row r="14" spans="1:33" x14ac:dyDescent="0.3">
      <c r="A14">
        <v>89790612634</v>
      </c>
      <c r="B14">
        <v>1216</v>
      </c>
      <c r="C14" t="s">
        <v>33</v>
      </c>
      <c r="D14" t="s">
        <v>34</v>
      </c>
      <c r="E14" t="s">
        <v>37</v>
      </c>
      <c r="F14">
        <v>612634</v>
      </c>
      <c r="G14">
        <v>117618</v>
      </c>
      <c r="H14" t="s">
        <v>54</v>
      </c>
      <c r="I14">
        <v>202601</v>
      </c>
      <c r="J14">
        <v>-2469.5100000000002</v>
      </c>
      <c r="K14" t="s">
        <v>128</v>
      </c>
      <c r="L14" t="s">
        <v>201</v>
      </c>
      <c r="M14" t="s">
        <v>204</v>
      </c>
      <c r="N14" t="s">
        <v>239</v>
      </c>
      <c r="O14" t="s">
        <v>244</v>
      </c>
      <c r="P14" t="s">
        <v>255</v>
      </c>
      <c r="Q14" t="s">
        <v>270</v>
      </c>
      <c r="R14" t="s">
        <v>303</v>
      </c>
      <c r="S14" t="s">
        <v>315</v>
      </c>
      <c r="T14" t="s">
        <v>316</v>
      </c>
      <c r="U14" t="s">
        <v>319</v>
      </c>
      <c r="V14">
        <v>1</v>
      </c>
      <c r="W14">
        <v>1</v>
      </c>
      <c r="X14" t="s">
        <v>337</v>
      </c>
      <c r="Y14" t="s">
        <v>204</v>
      </c>
      <c r="Z14" t="s">
        <v>239</v>
      </c>
      <c r="AA14" t="s">
        <v>270</v>
      </c>
      <c r="AB14" t="s">
        <v>303</v>
      </c>
      <c r="AC14">
        <v>38568</v>
      </c>
      <c r="AD14" t="s">
        <v>350</v>
      </c>
      <c r="AE14">
        <v>1</v>
      </c>
      <c r="AF14">
        <f t="shared" si="0"/>
        <v>1</v>
      </c>
      <c r="AG14">
        <v>202601</v>
      </c>
    </row>
    <row r="15" spans="1:33" x14ac:dyDescent="0.3">
      <c r="A15">
        <v>89791612636</v>
      </c>
      <c r="B15">
        <v>1203</v>
      </c>
      <c r="C15" t="s">
        <v>33</v>
      </c>
      <c r="D15" t="s">
        <v>34</v>
      </c>
      <c r="E15" t="s">
        <v>37</v>
      </c>
      <c r="F15">
        <v>612636</v>
      </c>
      <c r="G15">
        <v>117602</v>
      </c>
      <c r="H15" t="s">
        <v>55</v>
      </c>
      <c r="I15">
        <v>202601</v>
      </c>
      <c r="J15">
        <v>-3184.96</v>
      </c>
      <c r="K15" t="s">
        <v>129</v>
      </c>
      <c r="L15" t="s">
        <v>201</v>
      </c>
      <c r="M15" t="s">
        <v>211</v>
      </c>
      <c r="N15" t="s">
        <v>238</v>
      </c>
      <c r="O15" t="s">
        <v>244</v>
      </c>
      <c r="P15" t="s">
        <v>260</v>
      </c>
      <c r="Q15" t="s">
        <v>277</v>
      </c>
      <c r="R15" t="s">
        <v>306</v>
      </c>
      <c r="S15" t="s">
        <v>315</v>
      </c>
      <c r="T15" t="s">
        <v>316</v>
      </c>
      <c r="U15" t="s">
        <v>325</v>
      </c>
      <c r="V15">
        <v>1</v>
      </c>
      <c r="W15">
        <v>1</v>
      </c>
      <c r="X15" t="s">
        <v>337</v>
      </c>
      <c r="Y15" t="s">
        <v>211</v>
      </c>
      <c r="Z15" t="s">
        <v>238</v>
      </c>
      <c r="AA15" t="s">
        <v>277</v>
      </c>
      <c r="AB15" t="s">
        <v>306</v>
      </c>
      <c r="AC15">
        <v>38569</v>
      </c>
      <c r="AD15" t="s">
        <v>351</v>
      </c>
      <c r="AE15">
        <v>1</v>
      </c>
      <c r="AF15">
        <f t="shared" si="0"/>
        <v>1</v>
      </c>
      <c r="AG15">
        <v>202601</v>
      </c>
    </row>
    <row r="16" spans="1:33" x14ac:dyDescent="0.3">
      <c r="A16">
        <v>89792612638</v>
      </c>
      <c r="B16">
        <v>1216</v>
      </c>
      <c r="C16" t="s">
        <v>33</v>
      </c>
      <c r="D16" t="s">
        <v>34</v>
      </c>
      <c r="E16" t="s">
        <v>37</v>
      </c>
      <c r="F16">
        <v>612638</v>
      </c>
      <c r="G16">
        <v>117555</v>
      </c>
      <c r="H16" t="s">
        <v>56</v>
      </c>
      <c r="I16">
        <v>202601</v>
      </c>
      <c r="J16">
        <v>-4211.42</v>
      </c>
      <c r="K16" t="s">
        <v>130</v>
      </c>
      <c r="L16" t="s">
        <v>201</v>
      </c>
      <c r="M16" t="s">
        <v>204</v>
      </c>
      <c r="N16" t="s">
        <v>239</v>
      </c>
      <c r="O16" t="s">
        <v>244</v>
      </c>
      <c r="P16" t="s">
        <v>255</v>
      </c>
      <c r="Q16" t="s">
        <v>270</v>
      </c>
      <c r="R16" t="s">
        <v>303</v>
      </c>
      <c r="S16" t="s">
        <v>315</v>
      </c>
      <c r="T16" t="s">
        <v>316</v>
      </c>
      <c r="U16" t="s">
        <v>319</v>
      </c>
      <c r="V16">
        <v>1</v>
      </c>
      <c r="W16">
        <v>1</v>
      </c>
      <c r="X16" t="s">
        <v>337</v>
      </c>
      <c r="Y16" t="s">
        <v>204</v>
      </c>
      <c r="Z16" t="s">
        <v>239</v>
      </c>
      <c r="AA16" t="s">
        <v>270</v>
      </c>
      <c r="AB16" t="s">
        <v>303</v>
      </c>
      <c r="AC16">
        <v>38570</v>
      </c>
      <c r="AD16" t="s">
        <v>352</v>
      </c>
      <c r="AE16">
        <v>1</v>
      </c>
      <c r="AF16">
        <f t="shared" si="0"/>
        <v>1</v>
      </c>
      <c r="AG16">
        <v>202601</v>
      </c>
    </row>
    <row r="17" spans="1:33" x14ac:dyDescent="0.3">
      <c r="A17">
        <v>89793612640</v>
      </c>
      <c r="B17">
        <v>1203</v>
      </c>
      <c r="C17" t="s">
        <v>33</v>
      </c>
      <c r="D17" t="s">
        <v>34</v>
      </c>
      <c r="E17" t="s">
        <v>37</v>
      </c>
      <c r="F17">
        <v>612640</v>
      </c>
      <c r="G17">
        <v>117229</v>
      </c>
      <c r="H17" t="s">
        <v>57</v>
      </c>
      <c r="I17">
        <v>202601</v>
      </c>
      <c r="J17">
        <v>-3000</v>
      </c>
      <c r="K17" t="s">
        <v>131</v>
      </c>
      <c r="L17" t="s">
        <v>201</v>
      </c>
      <c r="M17" t="s">
        <v>212</v>
      </c>
      <c r="N17" t="s">
        <v>239</v>
      </c>
      <c r="O17" t="s">
        <v>246</v>
      </c>
      <c r="P17" t="s">
        <v>261</v>
      </c>
      <c r="Q17" t="s">
        <v>278</v>
      </c>
      <c r="R17" t="s">
        <v>304</v>
      </c>
      <c r="S17" t="s">
        <v>315</v>
      </c>
      <c r="T17" t="s">
        <v>316</v>
      </c>
      <c r="U17" t="s">
        <v>326</v>
      </c>
      <c r="V17">
        <v>1</v>
      </c>
      <c r="W17">
        <v>1</v>
      </c>
      <c r="X17" t="s">
        <v>337</v>
      </c>
      <c r="Y17" t="s">
        <v>212</v>
      </c>
      <c r="Z17" t="s">
        <v>239</v>
      </c>
      <c r="AA17" t="s">
        <v>278</v>
      </c>
      <c r="AB17" t="s">
        <v>304</v>
      </c>
      <c r="AC17">
        <v>38572</v>
      </c>
      <c r="AD17" t="s">
        <v>353</v>
      </c>
      <c r="AE17">
        <v>1</v>
      </c>
      <c r="AF17">
        <f t="shared" si="0"/>
        <v>1</v>
      </c>
      <c r="AG17">
        <v>202601</v>
      </c>
    </row>
    <row r="18" spans="1:33" x14ac:dyDescent="0.3">
      <c r="A18">
        <v>89794612642</v>
      </c>
      <c r="B18">
        <v>0</v>
      </c>
      <c r="C18" t="s">
        <v>33</v>
      </c>
      <c r="D18" t="s">
        <v>34</v>
      </c>
      <c r="E18" t="s">
        <v>37</v>
      </c>
      <c r="F18">
        <v>612642</v>
      </c>
      <c r="G18">
        <v>117117</v>
      </c>
      <c r="H18" t="s">
        <v>58</v>
      </c>
      <c r="I18">
        <v>202601</v>
      </c>
      <c r="J18">
        <v>-1069.97</v>
      </c>
      <c r="K18" t="s">
        <v>132</v>
      </c>
      <c r="L18" t="s">
        <v>201</v>
      </c>
      <c r="M18" t="s">
        <v>213</v>
      </c>
      <c r="N18" t="s">
        <v>239</v>
      </c>
      <c r="O18" t="s">
        <v>249</v>
      </c>
      <c r="P18" t="s">
        <v>249</v>
      </c>
      <c r="Q18" t="s">
        <v>279</v>
      </c>
      <c r="R18" t="s">
        <v>308</v>
      </c>
      <c r="S18" t="s">
        <v>315</v>
      </c>
      <c r="T18" t="s">
        <v>316</v>
      </c>
      <c r="U18" t="s">
        <v>319</v>
      </c>
      <c r="V18">
        <v>1</v>
      </c>
      <c r="W18">
        <v>1</v>
      </c>
      <c r="X18" t="s">
        <v>337</v>
      </c>
      <c r="Y18" t="s">
        <v>213</v>
      </c>
      <c r="Z18" t="s">
        <v>239</v>
      </c>
      <c r="AA18" t="s">
        <v>279</v>
      </c>
      <c r="AB18" t="s">
        <v>308</v>
      </c>
      <c r="AC18">
        <v>38574</v>
      </c>
      <c r="AD18" t="s">
        <v>354</v>
      </c>
      <c r="AE18">
        <v>1</v>
      </c>
      <c r="AF18">
        <f t="shared" si="0"/>
        <v>5</v>
      </c>
      <c r="AG18">
        <v>202601</v>
      </c>
    </row>
    <row r="19" spans="1:33" x14ac:dyDescent="0.3">
      <c r="A19">
        <v>89794612643</v>
      </c>
      <c r="B19">
        <v>0</v>
      </c>
      <c r="C19" t="s">
        <v>33</v>
      </c>
      <c r="D19" t="s">
        <v>34</v>
      </c>
      <c r="E19" t="s">
        <v>37</v>
      </c>
      <c r="F19">
        <v>612643</v>
      </c>
      <c r="G19">
        <v>117117</v>
      </c>
      <c r="H19" t="s">
        <v>58</v>
      </c>
      <c r="I19">
        <v>202601</v>
      </c>
      <c r="J19">
        <v>-649.14</v>
      </c>
      <c r="K19" t="s">
        <v>132</v>
      </c>
      <c r="L19" t="s">
        <v>201</v>
      </c>
      <c r="M19" t="s">
        <v>214</v>
      </c>
      <c r="N19" t="s">
        <v>239</v>
      </c>
      <c r="O19" t="s">
        <v>249</v>
      </c>
      <c r="P19" t="s">
        <v>249</v>
      </c>
      <c r="Q19" t="s">
        <v>280</v>
      </c>
      <c r="R19" t="s">
        <v>308</v>
      </c>
      <c r="S19" t="s">
        <v>315</v>
      </c>
      <c r="T19" t="s">
        <v>316</v>
      </c>
      <c r="U19" t="s">
        <v>319</v>
      </c>
      <c r="V19">
        <v>1</v>
      </c>
      <c r="W19">
        <v>1</v>
      </c>
      <c r="X19" t="s">
        <v>337</v>
      </c>
      <c r="Y19" t="s">
        <v>214</v>
      </c>
      <c r="Z19" t="s">
        <v>239</v>
      </c>
      <c r="AA19" t="s">
        <v>280</v>
      </c>
      <c r="AB19" t="s">
        <v>308</v>
      </c>
      <c r="AC19">
        <v>38574</v>
      </c>
      <c r="AD19" t="s">
        <v>354</v>
      </c>
      <c r="AE19">
        <v>2</v>
      </c>
      <c r="AF19">
        <f t="shared" si="0"/>
        <v>5</v>
      </c>
      <c r="AG19">
        <v>202601</v>
      </c>
    </row>
    <row r="20" spans="1:33" x14ac:dyDescent="0.3">
      <c r="A20">
        <v>89794612644</v>
      </c>
      <c r="B20">
        <v>0</v>
      </c>
      <c r="C20" t="s">
        <v>33</v>
      </c>
      <c r="D20" t="s">
        <v>34</v>
      </c>
      <c r="E20" t="s">
        <v>37</v>
      </c>
      <c r="F20">
        <v>612644</v>
      </c>
      <c r="G20">
        <v>117117</v>
      </c>
      <c r="H20" t="s">
        <v>58</v>
      </c>
      <c r="I20">
        <v>202601</v>
      </c>
      <c r="J20">
        <v>-261.42</v>
      </c>
      <c r="K20" t="s">
        <v>132</v>
      </c>
      <c r="L20" t="s">
        <v>201</v>
      </c>
      <c r="M20" t="s">
        <v>215</v>
      </c>
      <c r="N20" t="s">
        <v>239</v>
      </c>
      <c r="O20" t="s">
        <v>249</v>
      </c>
      <c r="P20" t="s">
        <v>249</v>
      </c>
      <c r="Q20" t="s">
        <v>281</v>
      </c>
      <c r="R20" t="s">
        <v>308</v>
      </c>
      <c r="S20" t="s">
        <v>315</v>
      </c>
      <c r="T20" t="s">
        <v>316</v>
      </c>
      <c r="U20" t="s">
        <v>319</v>
      </c>
      <c r="V20">
        <v>1</v>
      </c>
      <c r="W20">
        <v>1</v>
      </c>
      <c r="X20" t="s">
        <v>337</v>
      </c>
      <c r="Y20" t="s">
        <v>215</v>
      </c>
      <c r="Z20" t="s">
        <v>239</v>
      </c>
      <c r="AA20" t="s">
        <v>281</v>
      </c>
      <c r="AB20" t="s">
        <v>308</v>
      </c>
      <c r="AC20">
        <v>38574</v>
      </c>
      <c r="AD20" t="s">
        <v>354</v>
      </c>
      <c r="AE20">
        <v>3</v>
      </c>
      <c r="AF20">
        <f t="shared" si="0"/>
        <v>5</v>
      </c>
      <c r="AG20">
        <v>202601</v>
      </c>
    </row>
    <row r="21" spans="1:33" x14ac:dyDescent="0.3">
      <c r="A21">
        <v>89794612645</v>
      </c>
      <c r="B21">
        <v>0</v>
      </c>
      <c r="C21" t="s">
        <v>33</v>
      </c>
      <c r="D21" t="s">
        <v>34</v>
      </c>
      <c r="E21" t="s">
        <v>37</v>
      </c>
      <c r="F21">
        <v>612645</v>
      </c>
      <c r="G21">
        <v>117117</v>
      </c>
      <c r="H21" t="s">
        <v>58</v>
      </c>
      <c r="I21">
        <v>202601</v>
      </c>
      <c r="J21">
        <v>-61</v>
      </c>
      <c r="K21" t="s">
        <v>132</v>
      </c>
      <c r="L21" t="s">
        <v>201</v>
      </c>
      <c r="M21" t="s">
        <v>216</v>
      </c>
      <c r="N21" t="s">
        <v>239</v>
      </c>
      <c r="O21" t="s">
        <v>248</v>
      </c>
      <c r="P21" t="s">
        <v>259</v>
      </c>
      <c r="Q21" t="s">
        <v>282</v>
      </c>
      <c r="R21" t="s">
        <v>309</v>
      </c>
      <c r="S21" t="s">
        <v>315</v>
      </c>
      <c r="T21" t="s">
        <v>316</v>
      </c>
      <c r="U21" t="s">
        <v>319</v>
      </c>
      <c r="V21">
        <v>1</v>
      </c>
      <c r="W21">
        <v>1</v>
      </c>
      <c r="X21" t="s">
        <v>337</v>
      </c>
      <c r="Y21" t="s">
        <v>216</v>
      </c>
      <c r="Z21" t="s">
        <v>239</v>
      </c>
      <c r="AA21" t="s">
        <v>282</v>
      </c>
      <c r="AB21" t="s">
        <v>309</v>
      </c>
      <c r="AC21">
        <v>38574</v>
      </c>
      <c r="AD21" t="s">
        <v>354</v>
      </c>
      <c r="AE21">
        <v>4</v>
      </c>
      <c r="AF21">
        <f t="shared" si="0"/>
        <v>5</v>
      </c>
      <c r="AG21">
        <v>202601</v>
      </c>
    </row>
    <row r="22" spans="1:33" x14ac:dyDescent="0.3">
      <c r="A22">
        <v>89794612646</v>
      </c>
      <c r="B22">
        <v>0</v>
      </c>
      <c r="C22" t="s">
        <v>33</v>
      </c>
      <c r="D22" t="s">
        <v>34</v>
      </c>
      <c r="E22" t="s">
        <v>37</v>
      </c>
      <c r="F22">
        <v>612646</v>
      </c>
      <c r="G22">
        <v>117117</v>
      </c>
      <c r="H22" t="s">
        <v>58</v>
      </c>
      <c r="I22">
        <v>202601</v>
      </c>
      <c r="J22">
        <v>-13</v>
      </c>
      <c r="K22" t="s">
        <v>132</v>
      </c>
      <c r="L22" t="s">
        <v>201</v>
      </c>
      <c r="M22" t="s">
        <v>217</v>
      </c>
      <c r="N22" t="s">
        <v>239</v>
      </c>
      <c r="O22" t="s">
        <v>248</v>
      </c>
      <c r="P22" t="s">
        <v>259</v>
      </c>
      <c r="Q22" t="s">
        <v>283</v>
      </c>
      <c r="R22" t="s">
        <v>310</v>
      </c>
      <c r="S22" t="s">
        <v>315</v>
      </c>
      <c r="T22" t="s">
        <v>316</v>
      </c>
      <c r="U22" t="s">
        <v>319</v>
      </c>
      <c r="V22">
        <v>1</v>
      </c>
      <c r="W22">
        <v>1</v>
      </c>
      <c r="X22" t="s">
        <v>337</v>
      </c>
      <c r="Y22" t="s">
        <v>217</v>
      </c>
      <c r="Z22" t="s">
        <v>239</v>
      </c>
      <c r="AA22" t="s">
        <v>283</v>
      </c>
      <c r="AB22" t="s">
        <v>310</v>
      </c>
      <c r="AC22">
        <v>38574</v>
      </c>
      <c r="AD22" t="s">
        <v>354</v>
      </c>
      <c r="AE22">
        <v>5</v>
      </c>
      <c r="AF22">
        <f t="shared" si="0"/>
        <v>5</v>
      </c>
      <c r="AG22">
        <v>202601</v>
      </c>
    </row>
    <row r="23" spans="1:33" x14ac:dyDescent="0.3">
      <c r="A23">
        <v>89795612648</v>
      </c>
      <c r="B23">
        <v>1203</v>
      </c>
      <c r="C23" t="s">
        <v>33</v>
      </c>
      <c r="D23" t="s">
        <v>34</v>
      </c>
      <c r="E23" t="s">
        <v>37</v>
      </c>
      <c r="F23">
        <v>612648</v>
      </c>
      <c r="G23">
        <v>89041</v>
      </c>
      <c r="H23" t="s">
        <v>59</v>
      </c>
      <c r="I23">
        <v>202601</v>
      </c>
      <c r="J23">
        <v>-7000</v>
      </c>
      <c r="K23" t="s">
        <v>133</v>
      </c>
      <c r="L23" t="s">
        <v>201</v>
      </c>
      <c r="M23" t="s">
        <v>212</v>
      </c>
      <c r="N23" t="s">
        <v>239</v>
      </c>
      <c r="O23" t="s">
        <v>246</v>
      </c>
      <c r="P23" t="s">
        <v>261</v>
      </c>
      <c r="Q23" t="s">
        <v>278</v>
      </c>
      <c r="R23" t="s">
        <v>304</v>
      </c>
      <c r="S23" t="s">
        <v>315</v>
      </c>
      <c r="T23" t="s">
        <v>316</v>
      </c>
      <c r="U23" t="s">
        <v>320</v>
      </c>
      <c r="V23">
        <v>1</v>
      </c>
      <c r="W23">
        <v>1</v>
      </c>
      <c r="X23" t="s">
        <v>336</v>
      </c>
      <c r="Y23" t="s">
        <v>212</v>
      </c>
      <c r="Z23" t="s">
        <v>239</v>
      </c>
      <c r="AA23" t="s">
        <v>278</v>
      </c>
      <c r="AB23" t="s">
        <v>304</v>
      </c>
      <c r="AC23">
        <v>38578</v>
      </c>
      <c r="AD23" t="s">
        <v>355</v>
      </c>
      <c r="AE23">
        <v>1</v>
      </c>
      <c r="AF23">
        <f t="shared" si="0"/>
        <v>1</v>
      </c>
      <c r="AG23">
        <v>202601</v>
      </c>
    </row>
    <row r="24" spans="1:33" x14ac:dyDescent="0.3">
      <c r="A24">
        <v>89797612652</v>
      </c>
      <c r="B24">
        <v>1203</v>
      </c>
      <c r="C24" t="s">
        <v>33</v>
      </c>
      <c r="D24" t="s">
        <v>34</v>
      </c>
      <c r="E24" t="s">
        <v>37</v>
      </c>
      <c r="F24">
        <v>612652</v>
      </c>
      <c r="G24">
        <v>118649</v>
      </c>
      <c r="H24" t="s">
        <v>60</v>
      </c>
      <c r="I24">
        <v>202601</v>
      </c>
      <c r="J24">
        <v>-52405.2</v>
      </c>
      <c r="K24" t="s">
        <v>134</v>
      </c>
      <c r="L24" t="s">
        <v>201</v>
      </c>
      <c r="M24" t="s">
        <v>205</v>
      </c>
      <c r="N24" t="s">
        <v>240</v>
      </c>
      <c r="O24" t="s">
        <v>245</v>
      </c>
      <c r="P24" t="s">
        <v>245</v>
      </c>
      <c r="Q24" t="s">
        <v>271</v>
      </c>
      <c r="R24" t="s">
        <v>240</v>
      </c>
      <c r="S24" t="s">
        <v>315</v>
      </c>
      <c r="T24" t="s">
        <v>316</v>
      </c>
      <c r="U24" t="s">
        <v>320</v>
      </c>
      <c r="V24">
        <v>1</v>
      </c>
      <c r="W24">
        <v>1</v>
      </c>
      <c r="X24" t="s">
        <v>337</v>
      </c>
      <c r="Y24" t="s">
        <v>205</v>
      </c>
      <c r="Z24" t="s">
        <v>240</v>
      </c>
      <c r="AA24" t="s">
        <v>271</v>
      </c>
      <c r="AB24" t="s">
        <v>240</v>
      </c>
      <c r="AC24">
        <v>38580</v>
      </c>
      <c r="AD24" t="s">
        <v>356</v>
      </c>
      <c r="AE24">
        <v>1</v>
      </c>
      <c r="AF24">
        <f t="shared" si="0"/>
        <v>1</v>
      </c>
      <c r="AG24">
        <v>202601</v>
      </c>
    </row>
    <row r="25" spans="1:33" x14ac:dyDescent="0.3">
      <c r="A25">
        <v>89802612662</v>
      </c>
      <c r="B25">
        <v>1216</v>
      </c>
      <c r="C25" t="s">
        <v>33</v>
      </c>
      <c r="D25" t="s">
        <v>34</v>
      </c>
      <c r="E25" t="s">
        <v>37</v>
      </c>
      <c r="F25">
        <v>612662</v>
      </c>
      <c r="G25">
        <v>118644</v>
      </c>
      <c r="H25" t="s">
        <v>54</v>
      </c>
      <c r="I25">
        <v>202601</v>
      </c>
      <c r="J25">
        <v>-195.23</v>
      </c>
      <c r="K25" t="s">
        <v>135</v>
      </c>
      <c r="L25" t="s">
        <v>201</v>
      </c>
      <c r="M25" t="s">
        <v>204</v>
      </c>
      <c r="N25" t="s">
        <v>239</v>
      </c>
      <c r="O25" t="s">
        <v>244</v>
      </c>
      <c r="P25" t="s">
        <v>255</v>
      </c>
      <c r="Q25" t="s">
        <v>270</v>
      </c>
      <c r="R25" t="s">
        <v>303</v>
      </c>
      <c r="S25" t="s">
        <v>315</v>
      </c>
      <c r="T25" t="s">
        <v>316</v>
      </c>
      <c r="U25" t="s">
        <v>319</v>
      </c>
      <c r="V25">
        <v>1</v>
      </c>
      <c r="W25">
        <v>1</v>
      </c>
      <c r="X25" t="s">
        <v>337</v>
      </c>
      <c r="Y25" t="s">
        <v>204</v>
      </c>
      <c r="Z25" t="s">
        <v>239</v>
      </c>
      <c r="AA25" t="s">
        <v>270</v>
      </c>
      <c r="AB25" t="s">
        <v>303</v>
      </c>
      <c r="AC25">
        <v>38598</v>
      </c>
      <c r="AD25" t="s">
        <v>357</v>
      </c>
      <c r="AE25">
        <v>1</v>
      </c>
      <c r="AF25">
        <f t="shared" si="0"/>
        <v>1</v>
      </c>
      <c r="AG25">
        <v>202601</v>
      </c>
    </row>
    <row r="26" spans="1:33" x14ac:dyDescent="0.3">
      <c r="A26">
        <v>89803612664</v>
      </c>
      <c r="B26">
        <v>1216</v>
      </c>
      <c r="C26" t="s">
        <v>33</v>
      </c>
      <c r="D26" t="s">
        <v>34</v>
      </c>
      <c r="E26" t="s">
        <v>37</v>
      </c>
      <c r="F26">
        <v>612664</v>
      </c>
      <c r="G26">
        <v>118653</v>
      </c>
      <c r="H26" t="s">
        <v>54</v>
      </c>
      <c r="I26">
        <v>202601</v>
      </c>
      <c r="J26">
        <v>-130.16</v>
      </c>
      <c r="K26" t="s">
        <v>136</v>
      </c>
      <c r="L26" t="s">
        <v>201</v>
      </c>
      <c r="M26" t="s">
        <v>204</v>
      </c>
      <c r="N26" t="s">
        <v>239</v>
      </c>
      <c r="O26" t="s">
        <v>244</v>
      </c>
      <c r="P26" t="s">
        <v>255</v>
      </c>
      <c r="Q26" t="s">
        <v>270</v>
      </c>
      <c r="R26" t="s">
        <v>303</v>
      </c>
      <c r="S26" t="s">
        <v>315</v>
      </c>
      <c r="T26" t="s">
        <v>316</v>
      </c>
      <c r="U26" t="s">
        <v>319</v>
      </c>
      <c r="V26">
        <v>1</v>
      </c>
      <c r="W26">
        <v>1</v>
      </c>
      <c r="X26" t="s">
        <v>337</v>
      </c>
      <c r="Y26" t="s">
        <v>204</v>
      </c>
      <c r="Z26" t="s">
        <v>239</v>
      </c>
      <c r="AA26" t="s">
        <v>270</v>
      </c>
      <c r="AB26" t="s">
        <v>303</v>
      </c>
      <c r="AC26">
        <v>38604</v>
      </c>
      <c r="AD26" t="s">
        <v>358</v>
      </c>
      <c r="AE26">
        <v>1</v>
      </c>
      <c r="AF26">
        <f t="shared" si="0"/>
        <v>1</v>
      </c>
      <c r="AG26">
        <v>202601</v>
      </c>
    </row>
    <row r="27" spans="1:33" x14ac:dyDescent="0.3">
      <c r="A27">
        <v>89804612666</v>
      </c>
      <c r="B27">
        <v>1203</v>
      </c>
      <c r="C27" t="s">
        <v>33</v>
      </c>
      <c r="D27" t="s">
        <v>34</v>
      </c>
      <c r="E27" t="s">
        <v>37</v>
      </c>
      <c r="F27">
        <v>612666</v>
      </c>
      <c r="G27">
        <v>118531</v>
      </c>
      <c r="H27" t="s">
        <v>61</v>
      </c>
      <c r="I27">
        <v>202601</v>
      </c>
      <c r="J27">
        <v>-14000</v>
      </c>
      <c r="K27" t="s">
        <v>137</v>
      </c>
      <c r="L27" t="s">
        <v>201</v>
      </c>
      <c r="M27" t="s">
        <v>206</v>
      </c>
      <c r="N27" t="s">
        <v>239</v>
      </c>
      <c r="O27" t="s">
        <v>244</v>
      </c>
      <c r="P27" t="s">
        <v>256</v>
      </c>
      <c r="Q27" t="s">
        <v>272</v>
      </c>
      <c r="R27" t="s">
        <v>304</v>
      </c>
      <c r="S27" t="s">
        <v>315</v>
      </c>
      <c r="T27" t="s">
        <v>316</v>
      </c>
      <c r="U27" t="s">
        <v>327</v>
      </c>
      <c r="V27">
        <v>1</v>
      </c>
      <c r="W27">
        <v>1</v>
      </c>
      <c r="X27" t="s">
        <v>337</v>
      </c>
      <c r="Y27" t="s">
        <v>206</v>
      </c>
      <c r="Z27" t="s">
        <v>239</v>
      </c>
      <c r="AA27" t="s">
        <v>272</v>
      </c>
      <c r="AB27" t="s">
        <v>304</v>
      </c>
      <c r="AC27">
        <v>38605</v>
      </c>
      <c r="AD27" t="s">
        <v>359</v>
      </c>
      <c r="AE27">
        <v>1</v>
      </c>
      <c r="AF27">
        <f t="shared" si="0"/>
        <v>1</v>
      </c>
      <c r="AG27">
        <v>202601</v>
      </c>
    </row>
    <row r="28" spans="1:33" x14ac:dyDescent="0.3">
      <c r="A28">
        <v>89805612668</v>
      </c>
      <c r="B28">
        <v>1203</v>
      </c>
      <c r="C28" t="s">
        <v>33</v>
      </c>
      <c r="D28" t="s">
        <v>34</v>
      </c>
      <c r="E28" t="s">
        <v>37</v>
      </c>
      <c r="F28">
        <v>612668</v>
      </c>
      <c r="G28">
        <v>118525</v>
      </c>
      <c r="H28" t="s">
        <v>62</v>
      </c>
      <c r="I28">
        <v>202601</v>
      </c>
      <c r="J28">
        <v>-17500</v>
      </c>
      <c r="K28" t="s">
        <v>138</v>
      </c>
      <c r="L28" t="s">
        <v>201</v>
      </c>
      <c r="M28" t="s">
        <v>206</v>
      </c>
      <c r="N28" t="s">
        <v>239</v>
      </c>
      <c r="O28" t="s">
        <v>244</v>
      </c>
      <c r="P28" t="s">
        <v>256</v>
      </c>
      <c r="Q28" t="s">
        <v>272</v>
      </c>
      <c r="R28" t="s">
        <v>304</v>
      </c>
      <c r="S28" t="s">
        <v>315</v>
      </c>
      <c r="T28" t="s">
        <v>316</v>
      </c>
      <c r="U28" t="s">
        <v>326</v>
      </c>
      <c r="V28">
        <v>1</v>
      </c>
      <c r="W28">
        <v>1</v>
      </c>
      <c r="X28" t="s">
        <v>337</v>
      </c>
      <c r="Y28" t="s">
        <v>206</v>
      </c>
      <c r="Z28" t="s">
        <v>239</v>
      </c>
      <c r="AA28" t="s">
        <v>272</v>
      </c>
      <c r="AB28" t="s">
        <v>304</v>
      </c>
      <c r="AC28">
        <v>38606</v>
      </c>
      <c r="AD28" t="s">
        <v>360</v>
      </c>
      <c r="AE28">
        <v>1</v>
      </c>
      <c r="AF28">
        <f t="shared" si="0"/>
        <v>1</v>
      </c>
      <c r="AG28">
        <v>202601</v>
      </c>
    </row>
    <row r="29" spans="1:33" x14ac:dyDescent="0.3">
      <c r="A29">
        <v>89806612670</v>
      </c>
      <c r="B29">
        <v>1203</v>
      </c>
      <c r="C29" t="s">
        <v>33</v>
      </c>
      <c r="D29" t="s">
        <v>34</v>
      </c>
      <c r="E29" t="s">
        <v>37</v>
      </c>
      <c r="F29">
        <v>612670</v>
      </c>
      <c r="G29">
        <v>118520</v>
      </c>
      <c r="H29" t="s">
        <v>63</v>
      </c>
      <c r="I29">
        <v>202601</v>
      </c>
      <c r="J29">
        <v>-9300</v>
      </c>
      <c r="K29" t="s">
        <v>139</v>
      </c>
      <c r="L29" t="s">
        <v>201</v>
      </c>
      <c r="M29" t="s">
        <v>206</v>
      </c>
      <c r="N29" t="s">
        <v>239</v>
      </c>
      <c r="O29" t="s">
        <v>244</v>
      </c>
      <c r="P29" t="s">
        <v>256</v>
      </c>
      <c r="Q29" t="s">
        <v>272</v>
      </c>
      <c r="R29" t="s">
        <v>304</v>
      </c>
      <c r="S29" t="s">
        <v>315</v>
      </c>
      <c r="T29" t="s">
        <v>316</v>
      </c>
      <c r="U29" t="s">
        <v>327</v>
      </c>
      <c r="V29">
        <v>1</v>
      </c>
      <c r="W29">
        <v>1</v>
      </c>
      <c r="X29" t="s">
        <v>337</v>
      </c>
      <c r="Y29" t="s">
        <v>206</v>
      </c>
      <c r="Z29" t="s">
        <v>239</v>
      </c>
      <c r="AA29" t="s">
        <v>272</v>
      </c>
      <c r="AB29" t="s">
        <v>304</v>
      </c>
      <c r="AC29">
        <v>38607</v>
      </c>
      <c r="AD29" t="s">
        <v>361</v>
      </c>
      <c r="AE29">
        <v>1</v>
      </c>
      <c r="AF29">
        <f t="shared" si="0"/>
        <v>1</v>
      </c>
      <c r="AG29">
        <v>202601</v>
      </c>
    </row>
    <row r="30" spans="1:33" x14ac:dyDescent="0.3">
      <c r="A30">
        <v>89807612672</v>
      </c>
      <c r="B30">
        <v>1203</v>
      </c>
      <c r="C30" t="s">
        <v>33</v>
      </c>
      <c r="D30" t="s">
        <v>34</v>
      </c>
      <c r="E30" t="s">
        <v>37</v>
      </c>
      <c r="F30">
        <v>612672</v>
      </c>
      <c r="G30">
        <v>118491</v>
      </c>
      <c r="H30" t="s">
        <v>64</v>
      </c>
      <c r="I30">
        <v>202601</v>
      </c>
      <c r="J30">
        <v>-12000</v>
      </c>
      <c r="K30" t="s">
        <v>140</v>
      </c>
      <c r="L30" t="s">
        <v>201</v>
      </c>
      <c r="M30" t="s">
        <v>205</v>
      </c>
      <c r="N30" t="s">
        <v>240</v>
      </c>
      <c r="O30" t="s">
        <v>245</v>
      </c>
      <c r="P30" t="s">
        <v>245</v>
      </c>
      <c r="Q30" t="s">
        <v>271</v>
      </c>
      <c r="R30" t="s">
        <v>240</v>
      </c>
      <c r="S30" t="s">
        <v>315</v>
      </c>
      <c r="T30" t="s">
        <v>316</v>
      </c>
      <c r="U30" t="s">
        <v>320</v>
      </c>
      <c r="V30">
        <v>1</v>
      </c>
      <c r="W30">
        <v>1</v>
      </c>
      <c r="X30" t="s">
        <v>337</v>
      </c>
      <c r="Y30" t="s">
        <v>205</v>
      </c>
      <c r="Z30" t="s">
        <v>240</v>
      </c>
      <c r="AA30" t="s">
        <v>271</v>
      </c>
      <c r="AB30" t="s">
        <v>240</v>
      </c>
      <c r="AC30">
        <v>38608</v>
      </c>
      <c r="AD30" t="s">
        <v>362</v>
      </c>
      <c r="AE30">
        <v>1</v>
      </c>
      <c r="AF30">
        <f t="shared" si="0"/>
        <v>1</v>
      </c>
      <c r="AG30">
        <v>202601</v>
      </c>
    </row>
    <row r="31" spans="1:33" x14ac:dyDescent="0.3">
      <c r="A31">
        <v>89808612674</v>
      </c>
      <c r="B31">
        <v>1203</v>
      </c>
      <c r="C31" t="s">
        <v>33</v>
      </c>
      <c r="D31" t="s">
        <v>34</v>
      </c>
      <c r="E31" t="s">
        <v>37</v>
      </c>
      <c r="F31">
        <v>612674</v>
      </c>
      <c r="G31">
        <v>118481</v>
      </c>
      <c r="H31" t="s">
        <v>65</v>
      </c>
      <c r="I31">
        <v>202601</v>
      </c>
      <c r="J31">
        <v>-4500</v>
      </c>
      <c r="K31" t="s">
        <v>141</v>
      </c>
      <c r="L31" t="s">
        <v>201</v>
      </c>
      <c r="M31" t="s">
        <v>206</v>
      </c>
      <c r="N31" t="s">
        <v>239</v>
      </c>
      <c r="O31" t="s">
        <v>244</v>
      </c>
      <c r="P31" t="s">
        <v>256</v>
      </c>
      <c r="Q31" t="s">
        <v>272</v>
      </c>
      <c r="R31" t="s">
        <v>304</v>
      </c>
      <c r="S31" t="s">
        <v>315</v>
      </c>
      <c r="T31" t="s">
        <v>316</v>
      </c>
      <c r="U31" t="s">
        <v>324</v>
      </c>
      <c r="V31">
        <v>1</v>
      </c>
      <c r="W31">
        <v>1</v>
      </c>
      <c r="X31" t="s">
        <v>337</v>
      </c>
      <c r="Y31" t="s">
        <v>206</v>
      </c>
      <c r="Z31" t="s">
        <v>239</v>
      </c>
      <c r="AA31" t="s">
        <v>272</v>
      </c>
      <c r="AB31" t="s">
        <v>304</v>
      </c>
      <c r="AC31">
        <v>38610</v>
      </c>
      <c r="AD31" t="s">
        <v>363</v>
      </c>
      <c r="AE31">
        <v>1</v>
      </c>
      <c r="AF31">
        <f t="shared" si="0"/>
        <v>1</v>
      </c>
      <c r="AG31">
        <v>202601</v>
      </c>
    </row>
    <row r="32" spans="1:33" x14ac:dyDescent="0.3">
      <c r="A32">
        <v>89809612676</v>
      </c>
      <c r="B32">
        <v>1203</v>
      </c>
      <c r="C32" t="s">
        <v>33</v>
      </c>
      <c r="D32" t="s">
        <v>34</v>
      </c>
      <c r="E32" t="s">
        <v>37</v>
      </c>
      <c r="F32">
        <v>612676</v>
      </c>
      <c r="G32">
        <v>118477</v>
      </c>
      <c r="H32" t="s">
        <v>66</v>
      </c>
      <c r="I32">
        <v>202601</v>
      </c>
      <c r="J32">
        <v>-600</v>
      </c>
      <c r="K32" t="s">
        <v>142</v>
      </c>
      <c r="L32" t="s">
        <v>201</v>
      </c>
      <c r="M32" t="s">
        <v>202</v>
      </c>
      <c r="N32" t="s">
        <v>238</v>
      </c>
      <c r="O32" t="s">
        <v>242</v>
      </c>
      <c r="P32" t="s">
        <v>253</v>
      </c>
      <c r="Q32" t="s">
        <v>268</v>
      </c>
      <c r="R32" t="s">
        <v>268</v>
      </c>
      <c r="S32" t="s">
        <v>315</v>
      </c>
      <c r="T32" t="s">
        <v>316</v>
      </c>
      <c r="U32" t="s">
        <v>324</v>
      </c>
      <c r="V32">
        <v>1</v>
      </c>
      <c r="W32">
        <v>1</v>
      </c>
      <c r="X32" t="s">
        <v>337</v>
      </c>
      <c r="Y32" t="s">
        <v>202</v>
      </c>
      <c r="Z32" t="s">
        <v>238</v>
      </c>
      <c r="AA32" t="s">
        <v>268</v>
      </c>
      <c r="AB32" t="s">
        <v>268</v>
      </c>
      <c r="AC32">
        <v>38611</v>
      </c>
      <c r="AD32" t="s">
        <v>364</v>
      </c>
      <c r="AE32">
        <v>1</v>
      </c>
      <c r="AF32">
        <f t="shared" si="0"/>
        <v>1</v>
      </c>
      <c r="AG32">
        <v>202601</v>
      </c>
    </row>
    <row r="33" spans="1:33" x14ac:dyDescent="0.3">
      <c r="A33">
        <v>89810612678</v>
      </c>
      <c r="B33">
        <v>1203</v>
      </c>
      <c r="C33" t="s">
        <v>33</v>
      </c>
      <c r="D33" t="s">
        <v>34</v>
      </c>
      <c r="E33" t="s">
        <v>37</v>
      </c>
      <c r="F33">
        <v>612678</v>
      </c>
      <c r="G33">
        <v>118475</v>
      </c>
      <c r="H33" t="s">
        <v>67</v>
      </c>
      <c r="I33">
        <v>202601</v>
      </c>
      <c r="J33">
        <v>-4200</v>
      </c>
      <c r="K33" t="s">
        <v>143</v>
      </c>
      <c r="L33" t="s">
        <v>201</v>
      </c>
      <c r="M33" t="s">
        <v>206</v>
      </c>
      <c r="N33" t="s">
        <v>239</v>
      </c>
      <c r="O33" t="s">
        <v>244</v>
      </c>
      <c r="P33" t="s">
        <v>256</v>
      </c>
      <c r="Q33" t="s">
        <v>272</v>
      </c>
      <c r="R33" t="s">
        <v>304</v>
      </c>
      <c r="S33" t="s">
        <v>315</v>
      </c>
      <c r="T33" t="s">
        <v>316</v>
      </c>
      <c r="U33" t="s">
        <v>324</v>
      </c>
      <c r="V33">
        <v>1</v>
      </c>
      <c r="W33">
        <v>1</v>
      </c>
      <c r="X33" t="s">
        <v>337</v>
      </c>
      <c r="Y33" t="s">
        <v>206</v>
      </c>
      <c r="Z33" t="s">
        <v>239</v>
      </c>
      <c r="AA33" t="s">
        <v>272</v>
      </c>
      <c r="AB33" t="s">
        <v>304</v>
      </c>
      <c r="AC33">
        <v>38612</v>
      </c>
      <c r="AD33" t="s">
        <v>365</v>
      </c>
      <c r="AE33">
        <v>1</v>
      </c>
      <c r="AF33">
        <f t="shared" si="0"/>
        <v>1</v>
      </c>
      <c r="AG33">
        <v>202601</v>
      </c>
    </row>
    <row r="34" spans="1:33" x14ac:dyDescent="0.3">
      <c r="A34">
        <v>89811612680</v>
      </c>
      <c r="B34">
        <v>1203</v>
      </c>
      <c r="C34" t="s">
        <v>33</v>
      </c>
      <c r="D34" t="s">
        <v>34</v>
      </c>
      <c r="E34" t="s">
        <v>37</v>
      </c>
      <c r="F34">
        <v>612680</v>
      </c>
      <c r="G34">
        <v>118410</v>
      </c>
      <c r="H34" t="s">
        <v>68</v>
      </c>
      <c r="I34">
        <v>202601</v>
      </c>
      <c r="J34">
        <v>-6400</v>
      </c>
      <c r="K34" t="s">
        <v>144</v>
      </c>
      <c r="L34" t="s">
        <v>201</v>
      </c>
      <c r="M34" t="s">
        <v>206</v>
      </c>
      <c r="N34" t="s">
        <v>239</v>
      </c>
      <c r="O34" t="s">
        <v>244</v>
      </c>
      <c r="P34" t="s">
        <v>256</v>
      </c>
      <c r="Q34" t="s">
        <v>272</v>
      </c>
      <c r="R34" t="s">
        <v>304</v>
      </c>
      <c r="S34" t="s">
        <v>315</v>
      </c>
      <c r="T34" t="s">
        <v>316</v>
      </c>
      <c r="U34" t="s">
        <v>327</v>
      </c>
      <c r="V34">
        <v>1</v>
      </c>
      <c r="W34">
        <v>1</v>
      </c>
      <c r="X34" t="s">
        <v>337</v>
      </c>
      <c r="Y34" t="s">
        <v>206</v>
      </c>
      <c r="Z34" t="s">
        <v>239</v>
      </c>
      <c r="AA34" t="s">
        <v>272</v>
      </c>
      <c r="AB34" t="s">
        <v>304</v>
      </c>
      <c r="AC34">
        <v>38613</v>
      </c>
      <c r="AD34" t="s">
        <v>366</v>
      </c>
      <c r="AE34">
        <v>1</v>
      </c>
      <c r="AF34">
        <f t="shared" si="0"/>
        <v>1</v>
      </c>
      <c r="AG34">
        <v>202601</v>
      </c>
    </row>
    <row r="35" spans="1:33" x14ac:dyDescent="0.3">
      <c r="A35">
        <v>89812612682</v>
      </c>
      <c r="B35">
        <v>1203</v>
      </c>
      <c r="C35" t="s">
        <v>33</v>
      </c>
      <c r="D35" t="s">
        <v>34</v>
      </c>
      <c r="E35" t="s">
        <v>37</v>
      </c>
      <c r="F35">
        <v>612682</v>
      </c>
      <c r="G35">
        <v>118404</v>
      </c>
      <c r="H35" t="s">
        <v>69</v>
      </c>
      <c r="I35">
        <v>202601</v>
      </c>
      <c r="J35">
        <v>-15000</v>
      </c>
      <c r="K35" t="s">
        <v>145</v>
      </c>
      <c r="L35" t="s">
        <v>201</v>
      </c>
      <c r="M35" t="s">
        <v>206</v>
      </c>
      <c r="N35" t="s">
        <v>239</v>
      </c>
      <c r="O35" t="s">
        <v>244</v>
      </c>
      <c r="P35" t="s">
        <v>256</v>
      </c>
      <c r="Q35" t="s">
        <v>272</v>
      </c>
      <c r="R35" t="s">
        <v>304</v>
      </c>
      <c r="S35" t="s">
        <v>315</v>
      </c>
      <c r="T35" t="s">
        <v>316</v>
      </c>
      <c r="U35" t="s">
        <v>328</v>
      </c>
      <c r="V35">
        <v>1</v>
      </c>
      <c r="W35">
        <v>1</v>
      </c>
      <c r="X35" t="s">
        <v>337</v>
      </c>
      <c r="Y35" t="s">
        <v>206</v>
      </c>
      <c r="Z35" t="s">
        <v>239</v>
      </c>
      <c r="AA35" t="s">
        <v>272</v>
      </c>
      <c r="AB35" t="s">
        <v>304</v>
      </c>
      <c r="AC35">
        <v>38615</v>
      </c>
      <c r="AD35" t="s">
        <v>367</v>
      </c>
      <c r="AE35">
        <v>1</v>
      </c>
      <c r="AF35">
        <f t="shared" si="0"/>
        <v>1</v>
      </c>
      <c r="AG35">
        <v>202601</v>
      </c>
    </row>
    <row r="36" spans="1:33" x14ac:dyDescent="0.3">
      <c r="A36">
        <v>89813612684</v>
      </c>
      <c r="B36">
        <v>1203</v>
      </c>
      <c r="C36" t="s">
        <v>33</v>
      </c>
      <c r="D36" t="s">
        <v>34</v>
      </c>
      <c r="E36" t="s">
        <v>37</v>
      </c>
      <c r="F36">
        <v>612684</v>
      </c>
      <c r="G36">
        <v>118367</v>
      </c>
      <c r="H36" t="s">
        <v>70</v>
      </c>
      <c r="I36">
        <v>202601</v>
      </c>
      <c r="J36">
        <v>-12000</v>
      </c>
      <c r="K36" t="s">
        <v>146</v>
      </c>
      <c r="L36" t="s">
        <v>201</v>
      </c>
      <c r="M36" t="s">
        <v>206</v>
      </c>
      <c r="N36" t="s">
        <v>239</v>
      </c>
      <c r="O36" t="s">
        <v>244</v>
      </c>
      <c r="P36" t="s">
        <v>256</v>
      </c>
      <c r="Q36" t="s">
        <v>272</v>
      </c>
      <c r="R36" t="s">
        <v>304</v>
      </c>
      <c r="S36" t="s">
        <v>315</v>
      </c>
      <c r="T36" t="s">
        <v>316</v>
      </c>
      <c r="U36" t="s">
        <v>328</v>
      </c>
      <c r="V36">
        <v>1</v>
      </c>
      <c r="W36">
        <v>1</v>
      </c>
      <c r="X36" t="s">
        <v>337</v>
      </c>
      <c r="Y36" t="s">
        <v>206</v>
      </c>
      <c r="Z36" t="s">
        <v>239</v>
      </c>
      <c r="AA36" t="s">
        <v>272</v>
      </c>
      <c r="AB36" t="s">
        <v>304</v>
      </c>
      <c r="AC36">
        <v>38617</v>
      </c>
      <c r="AD36" t="s">
        <v>368</v>
      </c>
      <c r="AE36">
        <v>1</v>
      </c>
      <c r="AF36">
        <f t="shared" si="0"/>
        <v>1</v>
      </c>
      <c r="AG36">
        <v>202601</v>
      </c>
    </row>
    <row r="37" spans="1:33" x14ac:dyDescent="0.3">
      <c r="A37">
        <v>89814612686</v>
      </c>
      <c r="B37">
        <v>1203</v>
      </c>
      <c r="C37" t="s">
        <v>33</v>
      </c>
      <c r="D37" t="s">
        <v>34</v>
      </c>
      <c r="E37" t="s">
        <v>37</v>
      </c>
      <c r="F37">
        <v>612686</v>
      </c>
      <c r="G37">
        <v>118356</v>
      </c>
      <c r="H37" t="s">
        <v>71</v>
      </c>
      <c r="I37">
        <v>202601</v>
      </c>
      <c r="J37">
        <v>-11016.67</v>
      </c>
      <c r="K37" t="s">
        <v>147</v>
      </c>
      <c r="L37" t="s">
        <v>201</v>
      </c>
      <c r="M37" t="s">
        <v>206</v>
      </c>
      <c r="N37" t="s">
        <v>239</v>
      </c>
      <c r="O37" t="s">
        <v>244</v>
      </c>
      <c r="P37" t="s">
        <v>256</v>
      </c>
      <c r="Q37" t="s">
        <v>272</v>
      </c>
      <c r="R37" t="s">
        <v>304</v>
      </c>
      <c r="S37" t="s">
        <v>315</v>
      </c>
      <c r="T37" t="s">
        <v>316</v>
      </c>
      <c r="U37" t="s">
        <v>327</v>
      </c>
      <c r="V37">
        <v>1</v>
      </c>
      <c r="W37">
        <v>1</v>
      </c>
      <c r="X37" t="s">
        <v>337</v>
      </c>
      <c r="Y37" t="s">
        <v>206</v>
      </c>
      <c r="Z37" t="s">
        <v>239</v>
      </c>
      <c r="AA37" t="s">
        <v>272</v>
      </c>
      <c r="AB37" t="s">
        <v>304</v>
      </c>
      <c r="AC37">
        <v>38618</v>
      </c>
      <c r="AD37" t="s">
        <v>369</v>
      </c>
      <c r="AE37">
        <v>1</v>
      </c>
      <c r="AF37">
        <f t="shared" si="0"/>
        <v>1</v>
      </c>
      <c r="AG37">
        <v>202601</v>
      </c>
    </row>
    <row r="38" spans="1:33" x14ac:dyDescent="0.3">
      <c r="A38">
        <v>89815612688</v>
      </c>
      <c r="B38">
        <v>1203</v>
      </c>
      <c r="C38" t="s">
        <v>33</v>
      </c>
      <c r="D38" t="s">
        <v>34</v>
      </c>
      <c r="E38" t="s">
        <v>37</v>
      </c>
      <c r="F38">
        <v>612688</v>
      </c>
      <c r="G38">
        <v>118343</v>
      </c>
      <c r="H38" t="s">
        <v>72</v>
      </c>
      <c r="I38">
        <v>202601</v>
      </c>
      <c r="J38">
        <v>-15000</v>
      </c>
      <c r="K38" t="s">
        <v>148</v>
      </c>
      <c r="L38" t="s">
        <v>201</v>
      </c>
      <c r="M38" t="s">
        <v>206</v>
      </c>
      <c r="N38" t="s">
        <v>239</v>
      </c>
      <c r="O38" t="s">
        <v>244</v>
      </c>
      <c r="P38" t="s">
        <v>256</v>
      </c>
      <c r="Q38" t="s">
        <v>272</v>
      </c>
      <c r="R38" t="s">
        <v>304</v>
      </c>
      <c r="S38" t="s">
        <v>315</v>
      </c>
      <c r="T38" t="s">
        <v>316</v>
      </c>
      <c r="U38" t="s">
        <v>327</v>
      </c>
      <c r="V38">
        <v>1</v>
      </c>
      <c r="W38">
        <v>1</v>
      </c>
      <c r="X38" t="s">
        <v>337</v>
      </c>
      <c r="Y38" t="s">
        <v>206</v>
      </c>
      <c r="Z38" t="s">
        <v>239</v>
      </c>
      <c r="AA38" t="s">
        <v>272</v>
      </c>
      <c r="AB38" t="s">
        <v>304</v>
      </c>
      <c r="AC38">
        <v>38620</v>
      </c>
      <c r="AD38" t="s">
        <v>370</v>
      </c>
      <c r="AE38">
        <v>1</v>
      </c>
      <c r="AF38">
        <f t="shared" si="0"/>
        <v>1</v>
      </c>
      <c r="AG38">
        <v>202601</v>
      </c>
    </row>
    <row r="39" spans="1:33" x14ac:dyDescent="0.3">
      <c r="A39">
        <v>89816612690</v>
      </c>
      <c r="B39">
        <v>1203</v>
      </c>
      <c r="C39" t="s">
        <v>33</v>
      </c>
      <c r="D39" t="s">
        <v>34</v>
      </c>
      <c r="E39" t="s">
        <v>37</v>
      </c>
      <c r="F39">
        <v>612690</v>
      </c>
      <c r="G39">
        <v>118338</v>
      </c>
      <c r="H39" t="s">
        <v>73</v>
      </c>
      <c r="I39">
        <v>202601</v>
      </c>
      <c r="J39">
        <v>-36400</v>
      </c>
      <c r="K39" t="s">
        <v>149</v>
      </c>
      <c r="L39" t="s">
        <v>201</v>
      </c>
      <c r="M39" t="s">
        <v>206</v>
      </c>
      <c r="N39" t="s">
        <v>239</v>
      </c>
      <c r="O39" t="s">
        <v>244</v>
      </c>
      <c r="P39" t="s">
        <v>256</v>
      </c>
      <c r="Q39" t="s">
        <v>272</v>
      </c>
      <c r="R39" t="s">
        <v>304</v>
      </c>
      <c r="S39" t="s">
        <v>315</v>
      </c>
      <c r="T39" t="s">
        <v>316</v>
      </c>
      <c r="U39" t="s">
        <v>324</v>
      </c>
      <c r="V39">
        <v>1</v>
      </c>
      <c r="W39">
        <v>1</v>
      </c>
      <c r="X39" t="s">
        <v>337</v>
      </c>
      <c r="Y39" t="s">
        <v>206</v>
      </c>
      <c r="Z39" t="s">
        <v>239</v>
      </c>
      <c r="AA39" t="s">
        <v>272</v>
      </c>
      <c r="AB39" t="s">
        <v>304</v>
      </c>
      <c r="AC39">
        <v>38623</v>
      </c>
      <c r="AD39" t="s">
        <v>371</v>
      </c>
      <c r="AE39">
        <v>1</v>
      </c>
      <c r="AF39">
        <f t="shared" si="0"/>
        <v>1</v>
      </c>
      <c r="AG39">
        <v>202601</v>
      </c>
    </row>
    <row r="40" spans="1:33" x14ac:dyDescent="0.3">
      <c r="A40">
        <v>89817612692</v>
      </c>
      <c r="B40">
        <v>1203</v>
      </c>
      <c r="C40" t="s">
        <v>33</v>
      </c>
      <c r="D40" t="s">
        <v>34</v>
      </c>
      <c r="E40" t="s">
        <v>37</v>
      </c>
      <c r="F40">
        <v>612692</v>
      </c>
      <c r="G40">
        <v>118331</v>
      </c>
      <c r="H40" t="s">
        <v>74</v>
      </c>
      <c r="I40">
        <v>202601</v>
      </c>
      <c r="J40">
        <v>-19000</v>
      </c>
      <c r="K40" t="s">
        <v>150</v>
      </c>
      <c r="L40" t="s">
        <v>201</v>
      </c>
      <c r="M40" t="s">
        <v>206</v>
      </c>
      <c r="N40" t="s">
        <v>239</v>
      </c>
      <c r="O40" t="s">
        <v>244</v>
      </c>
      <c r="P40" t="s">
        <v>256</v>
      </c>
      <c r="Q40" t="s">
        <v>272</v>
      </c>
      <c r="R40" t="s">
        <v>304</v>
      </c>
      <c r="S40" t="s">
        <v>315</v>
      </c>
      <c r="T40" t="s">
        <v>316</v>
      </c>
      <c r="U40" t="s">
        <v>327</v>
      </c>
      <c r="V40">
        <v>1</v>
      </c>
      <c r="W40">
        <v>1</v>
      </c>
      <c r="X40" t="s">
        <v>337</v>
      </c>
      <c r="Y40" t="s">
        <v>206</v>
      </c>
      <c r="Z40" t="s">
        <v>239</v>
      </c>
      <c r="AA40" t="s">
        <v>272</v>
      </c>
      <c r="AB40" t="s">
        <v>304</v>
      </c>
      <c r="AC40">
        <v>38627</v>
      </c>
      <c r="AD40" t="s">
        <v>372</v>
      </c>
      <c r="AE40">
        <v>1</v>
      </c>
      <c r="AF40">
        <f t="shared" si="0"/>
        <v>1</v>
      </c>
      <c r="AG40">
        <v>202601</v>
      </c>
    </row>
    <row r="41" spans="1:33" x14ac:dyDescent="0.3">
      <c r="A41">
        <v>89818612694</v>
      </c>
      <c r="B41">
        <v>1207</v>
      </c>
      <c r="C41" t="s">
        <v>33</v>
      </c>
      <c r="D41" t="s">
        <v>34</v>
      </c>
      <c r="E41" t="s">
        <v>37</v>
      </c>
      <c r="F41">
        <v>612694</v>
      </c>
      <c r="G41">
        <v>117733</v>
      </c>
      <c r="H41" t="s">
        <v>75</v>
      </c>
      <c r="I41">
        <v>202601</v>
      </c>
      <c r="J41">
        <v>-210.79</v>
      </c>
      <c r="K41" t="s">
        <v>151</v>
      </c>
      <c r="L41" t="s">
        <v>201</v>
      </c>
      <c r="M41" t="s">
        <v>218</v>
      </c>
      <c r="N41" t="s">
        <v>239</v>
      </c>
      <c r="O41" t="s">
        <v>244</v>
      </c>
      <c r="P41" t="s">
        <v>255</v>
      </c>
      <c r="Q41" t="s">
        <v>284</v>
      </c>
      <c r="R41" t="s">
        <v>303</v>
      </c>
      <c r="S41" t="s">
        <v>315</v>
      </c>
      <c r="T41" t="s">
        <v>316</v>
      </c>
      <c r="U41" t="s">
        <v>324</v>
      </c>
      <c r="V41">
        <v>1</v>
      </c>
      <c r="W41">
        <v>1</v>
      </c>
      <c r="X41" t="s">
        <v>337</v>
      </c>
      <c r="Y41" t="s">
        <v>218</v>
      </c>
      <c r="Z41" t="s">
        <v>239</v>
      </c>
      <c r="AA41" t="s">
        <v>284</v>
      </c>
      <c r="AB41" t="s">
        <v>303</v>
      </c>
      <c r="AC41">
        <v>38631</v>
      </c>
      <c r="AD41" t="s">
        <v>373</v>
      </c>
      <c r="AE41">
        <v>1</v>
      </c>
      <c r="AF41">
        <f t="shared" si="0"/>
        <v>1</v>
      </c>
      <c r="AG41">
        <v>202601</v>
      </c>
    </row>
    <row r="42" spans="1:33" x14ac:dyDescent="0.3">
      <c r="A42">
        <v>89819612696</v>
      </c>
      <c r="B42">
        <v>1201</v>
      </c>
      <c r="C42" t="s">
        <v>33</v>
      </c>
      <c r="D42" t="s">
        <v>34</v>
      </c>
      <c r="E42" t="s">
        <v>37</v>
      </c>
      <c r="F42">
        <v>612696</v>
      </c>
      <c r="G42">
        <v>118208</v>
      </c>
      <c r="H42" t="s">
        <v>76</v>
      </c>
      <c r="I42">
        <v>202601</v>
      </c>
      <c r="J42">
        <v>-6999</v>
      </c>
      <c r="K42" t="s">
        <v>152</v>
      </c>
      <c r="L42" t="s">
        <v>201</v>
      </c>
      <c r="M42" t="s">
        <v>205</v>
      </c>
      <c r="N42" t="s">
        <v>240</v>
      </c>
      <c r="O42" t="s">
        <v>245</v>
      </c>
      <c r="P42" t="s">
        <v>245</v>
      </c>
      <c r="Q42" t="s">
        <v>271</v>
      </c>
      <c r="R42" t="s">
        <v>240</v>
      </c>
      <c r="S42" t="s">
        <v>315</v>
      </c>
      <c r="T42" t="s">
        <v>316</v>
      </c>
      <c r="U42" t="s">
        <v>320</v>
      </c>
      <c r="V42">
        <v>1</v>
      </c>
      <c r="W42">
        <v>1</v>
      </c>
      <c r="X42" t="s">
        <v>337</v>
      </c>
      <c r="Y42" t="s">
        <v>205</v>
      </c>
      <c r="Z42" t="s">
        <v>240</v>
      </c>
      <c r="AA42" t="s">
        <v>271</v>
      </c>
      <c r="AB42" t="s">
        <v>240</v>
      </c>
      <c r="AC42">
        <v>38632</v>
      </c>
      <c r="AD42" t="s">
        <v>374</v>
      </c>
      <c r="AE42">
        <v>1</v>
      </c>
      <c r="AF42">
        <f t="shared" si="0"/>
        <v>1</v>
      </c>
      <c r="AG42">
        <v>202601</v>
      </c>
    </row>
    <row r="43" spans="1:33" x14ac:dyDescent="0.3">
      <c r="A43">
        <v>89820612698</v>
      </c>
      <c r="B43">
        <v>1207</v>
      </c>
      <c r="C43" t="s">
        <v>33</v>
      </c>
      <c r="D43" t="s">
        <v>34</v>
      </c>
      <c r="E43" t="s">
        <v>37</v>
      </c>
      <c r="F43">
        <v>612698</v>
      </c>
      <c r="G43">
        <v>118184</v>
      </c>
      <c r="H43" t="s">
        <v>77</v>
      </c>
      <c r="I43">
        <v>202601</v>
      </c>
      <c r="J43">
        <v>-109.03</v>
      </c>
      <c r="K43" t="s">
        <v>153</v>
      </c>
      <c r="L43" t="s">
        <v>201</v>
      </c>
      <c r="M43" t="s">
        <v>218</v>
      </c>
      <c r="N43" t="s">
        <v>239</v>
      </c>
      <c r="O43" t="s">
        <v>244</v>
      </c>
      <c r="P43" t="s">
        <v>255</v>
      </c>
      <c r="Q43" t="s">
        <v>284</v>
      </c>
      <c r="R43" t="s">
        <v>303</v>
      </c>
      <c r="S43" t="s">
        <v>315</v>
      </c>
      <c r="T43" t="s">
        <v>316</v>
      </c>
      <c r="U43" t="s">
        <v>328</v>
      </c>
      <c r="V43">
        <v>1</v>
      </c>
      <c r="W43">
        <v>1</v>
      </c>
      <c r="X43" t="s">
        <v>337</v>
      </c>
      <c r="Y43" t="s">
        <v>218</v>
      </c>
      <c r="Z43" t="s">
        <v>239</v>
      </c>
      <c r="AA43" t="s">
        <v>284</v>
      </c>
      <c r="AB43" t="s">
        <v>303</v>
      </c>
      <c r="AC43">
        <v>38633</v>
      </c>
      <c r="AD43" t="s">
        <v>375</v>
      </c>
      <c r="AE43">
        <v>1</v>
      </c>
      <c r="AF43">
        <f t="shared" si="0"/>
        <v>1</v>
      </c>
      <c r="AG43">
        <v>202601</v>
      </c>
    </row>
    <row r="44" spans="1:33" x14ac:dyDescent="0.3">
      <c r="A44">
        <v>89821612700</v>
      </c>
      <c r="B44">
        <v>1207</v>
      </c>
      <c r="C44" t="s">
        <v>33</v>
      </c>
      <c r="D44" t="s">
        <v>34</v>
      </c>
      <c r="E44" t="s">
        <v>37</v>
      </c>
      <c r="F44">
        <v>612700</v>
      </c>
      <c r="G44">
        <v>118034</v>
      </c>
      <c r="H44" t="s">
        <v>78</v>
      </c>
      <c r="I44">
        <v>202601</v>
      </c>
      <c r="J44">
        <v>-443.38</v>
      </c>
      <c r="K44" t="s">
        <v>154</v>
      </c>
      <c r="L44" t="s">
        <v>201</v>
      </c>
      <c r="M44" t="s">
        <v>219</v>
      </c>
      <c r="N44" t="s">
        <v>239</v>
      </c>
      <c r="O44" t="s">
        <v>247</v>
      </c>
      <c r="P44" t="s">
        <v>247</v>
      </c>
      <c r="Q44" t="s">
        <v>285</v>
      </c>
      <c r="R44" t="s">
        <v>303</v>
      </c>
      <c r="S44" t="s">
        <v>315</v>
      </c>
      <c r="T44" t="s">
        <v>316</v>
      </c>
      <c r="U44" t="s">
        <v>324</v>
      </c>
      <c r="V44">
        <v>1</v>
      </c>
      <c r="W44">
        <v>1</v>
      </c>
      <c r="X44" t="s">
        <v>337</v>
      </c>
      <c r="Y44" t="s">
        <v>219</v>
      </c>
      <c r="Z44" t="s">
        <v>239</v>
      </c>
      <c r="AA44" t="s">
        <v>285</v>
      </c>
      <c r="AB44" t="s">
        <v>303</v>
      </c>
      <c r="AC44">
        <v>38637</v>
      </c>
      <c r="AD44" t="s">
        <v>376</v>
      </c>
      <c r="AE44">
        <v>1</v>
      </c>
      <c r="AF44">
        <f t="shared" si="0"/>
        <v>2</v>
      </c>
      <c r="AG44">
        <v>202601</v>
      </c>
    </row>
    <row r="45" spans="1:33" x14ac:dyDescent="0.3">
      <c r="A45">
        <v>89821612701</v>
      </c>
      <c r="B45">
        <v>1207</v>
      </c>
      <c r="C45" t="s">
        <v>33</v>
      </c>
      <c r="D45" t="s">
        <v>34</v>
      </c>
      <c r="E45" t="s">
        <v>37</v>
      </c>
      <c r="F45">
        <v>612701</v>
      </c>
      <c r="G45">
        <v>118034</v>
      </c>
      <c r="H45" t="s">
        <v>78</v>
      </c>
      <c r="I45">
        <v>202601</v>
      </c>
      <c r="J45">
        <v>-325.61</v>
      </c>
      <c r="K45" t="s">
        <v>154</v>
      </c>
      <c r="L45" t="s">
        <v>201</v>
      </c>
      <c r="M45" t="s">
        <v>218</v>
      </c>
      <c r="N45" t="s">
        <v>239</v>
      </c>
      <c r="O45" t="s">
        <v>244</v>
      </c>
      <c r="P45" t="s">
        <v>255</v>
      </c>
      <c r="Q45" t="s">
        <v>284</v>
      </c>
      <c r="R45" t="s">
        <v>303</v>
      </c>
      <c r="S45" t="s">
        <v>315</v>
      </c>
      <c r="T45" t="s">
        <v>316</v>
      </c>
      <c r="U45" t="s">
        <v>324</v>
      </c>
      <c r="V45">
        <v>1</v>
      </c>
      <c r="W45">
        <v>1</v>
      </c>
      <c r="X45" t="s">
        <v>337</v>
      </c>
      <c r="Y45" t="s">
        <v>218</v>
      </c>
      <c r="Z45" t="s">
        <v>239</v>
      </c>
      <c r="AA45" t="s">
        <v>284</v>
      </c>
      <c r="AB45" t="s">
        <v>303</v>
      </c>
      <c r="AC45">
        <v>38637</v>
      </c>
      <c r="AD45" t="s">
        <v>376</v>
      </c>
      <c r="AE45">
        <v>2</v>
      </c>
      <c r="AF45">
        <f t="shared" si="0"/>
        <v>2</v>
      </c>
      <c r="AG45">
        <v>202601</v>
      </c>
    </row>
    <row r="46" spans="1:33" x14ac:dyDescent="0.3">
      <c r="A46">
        <v>89822612703</v>
      </c>
      <c r="B46">
        <v>1203</v>
      </c>
      <c r="C46" t="s">
        <v>33</v>
      </c>
      <c r="D46" t="s">
        <v>34</v>
      </c>
      <c r="E46" t="s">
        <v>37</v>
      </c>
      <c r="F46">
        <v>612703</v>
      </c>
      <c r="G46">
        <v>117871</v>
      </c>
      <c r="H46" t="s">
        <v>79</v>
      </c>
      <c r="I46">
        <v>202601</v>
      </c>
      <c r="J46">
        <v>-24500</v>
      </c>
      <c r="K46" t="s">
        <v>155</v>
      </c>
      <c r="L46" t="s">
        <v>201</v>
      </c>
      <c r="M46" t="s">
        <v>220</v>
      </c>
      <c r="N46" t="s">
        <v>239</v>
      </c>
      <c r="O46" t="s">
        <v>244</v>
      </c>
      <c r="P46" t="s">
        <v>262</v>
      </c>
      <c r="Q46" t="s">
        <v>286</v>
      </c>
      <c r="R46" t="s">
        <v>311</v>
      </c>
      <c r="S46" t="s">
        <v>315</v>
      </c>
      <c r="T46" t="s">
        <v>316</v>
      </c>
      <c r="U46" t="s">
        <v>329</v>
      </c>
      <c r="V46">
        <v>1</v>
      </c>
      <c r="W46">
        <v>1</v>
      </c>
      <c r="X46" t="s">
        <v>337</v>
      </c>
      <c r="Y46" t="s">
        <v>220</v>
      </c>
      <c r="Z46" t="s">
        <v>239</v>
      </c>
      <c r="AA46" t="s">
        <v>286</v>
      </c>
      <c r="AB46" t="s">
        <v>311</v>
      </c>
      <c r="AC46">
        <v>38638</v>
      </c>
      <c r="AD46" t="s">
        <v>377</v>
      </c>
      <c r="AE46">
        <v>1</v>
      </c>
      <c r="AF46">
        <f t="shared" si="0"/>
        <v>1</v>
      </c>
      <c r="AG46">
        <v>202601</v>
      </c>
    </row>
    <row r="47" spans="1:33" x14ac:dyDescent="0.3">
      <c r="A47">
        <v>89823612705</v>
      </c>
      <c r="B47">
        <v>1203</v>
      </c>
      <c r="C47" t="s">
        <v>33</v>
      </c>
      <c r="D47" t="s">
        <v>34</v>
      </c>
      <c r="E47" t="s">
        <v>37</v>
      </c>
      <c r="F47">
        <v>612705</v>
      </c>
      <c r="G47">
        <v>117855</v>
      </c>
      <c r="H47" t="s">
        <v>80</v>
      </c>
      <c r="I47">
        <v>202601</v>
      </c>
      <c r="J47">
        <v>-2325.9</v>
      </c>
      <c r="K47" t="s">
        <v>156</v>
      </c>
      <c r="L47" t="s">
        <v>201</v>
      </c>
      <c r="M47" t="s">
        <v>206</v>
      </c>
      <c r="N47" t="s">
        <v>239</v>
      </c>
      <c r="O47" t="s">
        <v>244</v>
      </c>
      <c r="P47" t="s">
        <v>256</v>
      </c>
      <c r="Q47" t="s">
        <v>272</v>
      </c>
      <c r="R47" t="s">
        <v>304</v>
      </c>
      <c r="S47" t="s">
        <v>315</v>
      </c>
      <c r="T47" t="s">
        <v>316</v>
      </c>
      <c r="U47" t="s">
        <v>325</v>
      </c>
      <c r="V47">
        <v>1</v>
      </c>
      <c r="W47">
        <v>1</v>
      </c>
      <c r="X47" t="s">
        <v>337</v>
      </c>
      <c r="Y47" t="s">
        <v>206</v>
      </c>
      <c r="Z47" t="s">
        <v>239</v>
      </c>
      <c r="AA47" t="s">
        <v>272</v>
      </c>
      <c r="AB47" t="s">
        <v>304</v>
      </c>
      <c r="AC47">
        <v>38639</v>
      </c>
      <c r="AD47" t="s">
        <v>378</v>
      </c>
      <c r="AE47">
        <v>1</v>
      </c>
      <c r="AF47">
        <f t="shared" si="0"/>
        <v>1</v>
      </c>
      <c r="AG47">
        <v>202601</v>
      </c>
    </row>
    <row r="48" spans="1:33" x14ac:dyDescent="0.3">
      <c r="A48">
        <v>89824612707</v>
      </c>
      <c r="B48">
        <v>1207</v>
      </c>
      <c r="C48" t="s">
        <v>33</v>
      </c>
      <c r="D48" t="s">
        <v>34</v>
      </c>
      <c r="E48" t="s">
        <v>37</v>
      </c>
      <c r="F48">
        <v>612707</v>
      </c>
      <c r="G48">
        <v>117709</v>
      </c>
      <c r="H48" t="s">
        <v>81</v>
      </c>
      <c r="I48">
        <v>202601</v>
      </c>
      <c r="J48">
        <v>-156.26</v>
      </c>
      <c r="K48" t="s">
        <v>157</v>
      </c>
      <c r="L48" t="s">
        <v>201</v>
      </c>
      <c r="M48" t="s">
        <v>221</v>
      </c>
      <c r="N48" t="s">
        <v>239</v>
      </c>
      <c r="O48" t="s">
        <v>246</v>
      </c>
      <c r="P48" t="s">
        <v>263</v>
      </c>
      <c r="Q48" t="s">
        <v>287</v>
      </c>
      <c r="R48" t="s">
        <v>304</v>
      </c>
      <c r="S48" t="s">
        <v>315</v>
      </c>
      <c r="T48" t="s">
        <v>316</v>
      </c>
      <c r="U48" t="s">
        <v>330</v>
      </c>
      <c r="V48">
        <v>1</v>
      </c>
      <c r="W48">
        <v>1</v>
      </c>
      <c r="X48" t="s">
        <v>337</v>
      </c>
      <c r="Y48" t="s">
        <v>221</v>
      </c>
      <c r="Z48" t="s">
        <v>239</v>
      </c>
      <c r="AA48" t="s">
        <v>287</v>
      </c>
      <c r="AB48" t="s">
        <v>304</v>
      </c>
      <c r="AC48">
        <v>38640</v>
      </c>
      <c r="AD48" t="s">
        <v>379</v>
      </c>
      <c r="AE48">
        <v>1</v>
      </c>
      <c r="AF48">
        <f t="shared" si="0"/>
        <v>1</v>
      </c>
      <c r="AG48">
        <v>202601</v>
      </c>
    </row>
    <row r="49" spans="1:33" x14ac:dyDescent="0.3">
      <c r="A49">
        <v>89825612709</v>
      </c>
      <c r="B49">
        <v>1203</v>
      </c>
      <c r="C49" t="s">
        <v>33</v>
      </c>
      <c r="D49" t="s">
        <v>34</v>
      </c>
      <c r="E49" t="s">
        <v>37</v>
      </c>
      <c r="F49">
        <v>612709</v>
      </c>
      <c r="G49">
        <v>117651</v>
      </c>
      <c r="H49" t="s">
        <v>68</v>
      </c>
      <c r="I49">
        <v>202601</v>
      </c>
      <c r="J49">
        <v>-266.67</v>
      </c>
      <c r="K49" t="s">
        <v>158</v>
      </c>
      <c r="L49" t="s">
        <v>201</v>
      </c>
      <c r="M49" t="s">
        <v>206</v>
      </c>
      <c r="N49" t="s">
        <v>239</v>
      </c>
      <c r="O49" t="s">
        <v>244</v>
      </c>
      <c r="P49" t="s">
        <v>256</v>
      </c>
      <c r="Q49" t="s">
        <v>272</v>
      </c>
      <c r="R49" t="s">
        <v>304</v>
      </c>
      <c r="S49" t="s">
        <v>315</v>
      </c>
      <c r="T49" t="s">
        <v>316</v>
      </c>
      <c r="U49" t="s">
        <v>327</v>
      </c>
      <c r="V49">
        <v>1</v>
      </c>
      <c r="W49">
        <v>1</v>
      </c>
      <c r="X49" t="s">
        <v>337</v>
      </c>
      <c r="Y49" t="s">
        <v>206</v>
      </c>
      <c r="Z49" t="s">
        <v>239</v>
      </c>
      <c r="AA49" t="s">
        <v>272</v>
      </c>
      <c r="AB49" t="s">
        <v>304</v>
      </c>
      <c r="AC49">
        <v>38643</v>
      </c>
      <c r="AD49" t="s">
        <v>380</v>
      </c>
      <c r="AE49">
        <v>1</v>
      </c>
      <c r="AF49">
        <f t="shared" si="0"/>
        <v>1</v>
      </c>
      <c r="AG49">
        <v>202601</v>
      </c>
    </row>
    <row r="50" spans="1:33" x14ac:dyDescent="0.3">
      <c r="A50">
        <v>89826612711</v>
      </c>
      <c r="B50">
        <v>1203</v>
      </c>
      <c r="C50" t="s">
        <v>33</v>
      </c>
      <c r="D50" t="s">
        <v>34</v>
      </c>
      <c r="E50" t="s">
        <v>37</v>
      </c>
      <c r="F50">
        <v>612711</v>
      </c>
      <c r="G50">
        <v>117620</v>
      </c>
      <c r="H50" t="s">
        <v>82</v>
      </c>
      <c r="I50">
        <v>202601</v>
      </c>
      <c r="J50">
        <v>-35000</v>
      </c>
      <c r="K50" t="s">
        <v>159</v>
      </c>
      <c r="L50" t="s">
        <v>201</v>
      </c>
      <c r="M50" t="s">
        <v>206</v>
      </c>
      <c r="N50" t="s">
        <v>239</v>
      </c>
      <c r="O50" t="s">
        <v>244</v>
      </c>
      <c r="P50" t="s">
        <v>256</v>
      </c>
      <c r="Q50" t="s">
        <v>272</v>
      </c>
      <c r="R50" t="s">
        <v>304</v>
      </c>
      <c r="S50" t="s">
        <v>315</v>
      </c>
      <c r="T50" t="s">
        <v>316</v>
      </c>
      <c r="U50" t="s">
        <v>331</v>
      </c>
      <c r="V50">
        <v>1</v>
      </c>
      <c r="W50">
        <v>1</v>
      </c>
      <c r="X50" t="s">
        <v>337</v>
      </c>
      <c r="Y50" t="s">
        <v>206</v>
      </c>
      <c r="Z50" t="s">
        <v>239</v>
      </c>
      <c r="AA50" t="s">
        <v>272</v>
      </c>
      <c r="AB50" t="s">
        <v>304</v>
      </c>
      <c r="AC50">
        <v>38644</v>
      </c>
      <c r="AD50" t="s">
        <v>381</v>
      </c>
      <c r="AE50">
        <v>1</v>
      </c>
      <c r="AF50">
        <f t="shared" si="0"/>
        <v>1</v>
      </c>
      <c r="AG50">
        <v>202601</v>
      </c>
    </row>
    <row r="51" spans="1:33" x14ac:dyDescent="0.3">
      <c r="A51">
        <v>89827612713</v>
      </c>
      <c r="B51">
        <v>1216</v>
      </c>
      <c r="C51" t="s">
        <v>33</v>
      </c>
      <c r="D51" t="s">
        <v>34</v>
      </c>
      <c r="E51" t="s">
        <v>37</v>
      </c>
      <c r="F51">
        <v>612713</v>
      </c>
      <c r="G51">
        <v>117598</v>
      </c>
      <c r="H51" t="s">
        <v>83</v>
      </c>
      <c r="I51">
        <v>202601</v>
      </c>
      <c r="J51">
        <v>-807.32</v>
      </c>
      <c r="K51" t="s">
        <v>160</v>
      </c>
      <c r="L51" t="s">
        <v>201</v>
      </c>
      <c r="M51" t="s">
        <v>205</v>
      </c>
      <c r="N51" t="s">
        <v>240</v>
      </c>
      <c r="O51" t="s">
        <v>245</v>
      </c>
      <c r="P51" t="s">
        <v>245</v>
      </c>
      <c r="Q51" t="s">
        <v>271</v>
      </c>
      <c r="R51" t="s">
        <v>240</v>
      </c>
      <c r="S51" t="s">
        <v>315</v>
      </c>
      <c r="T51" t="s">
        <v>316</v>
      </c>
      <c r="U51" t="s">
        <v>320</v>
      </c>
      <c r="V51">
        <v>1</v>
      </c>
      <c r="W51">
        <v>1</v>
      </c>
      <c r="X51" t="s">
        <v>337</v>
      </c>
      <c r="Y51" t="s">
        <v>205</v>
      </c>
      <c r="Z51" t="s">
        <v>240</v>
      </c>
      <c r="AA51" t="s">
        <v>271</v>
      </c>
      <c r="AB51" t="s">
        <v>240</v>
      </c>
      <c r="AC51">
        <v>38645</v>
      </c>
      <c r="AD51" t="s">
        <v>382</v>
      </c>
      <c r="AE51">
        <v>1</v>
      </c>
      <c r="AF51">
        <f t="shared" si="0"/>
        <v>1</v>
      </c>
      <c r="AG51">
        <v>202601</v>
      </c>
    </row>
    <row r="52" spans="1:33" x14ac:dyDescent="0.3">
      <c r="A52">
        <v>89828612715</v>
      </c>
      <c r="B52">
        <v>1216</v>
      </c>
      <c r="C52" t="s">
        <v>33</v>
      </c>
      <c r="D52" t="s">
        <v>34</v>
      </c>
      <c r="E52" t="s">
        <v>37</v>
      </c>
      <c r="F52">
        <v>612715</v>
      </c>
      <c r="G52">
        <v>117549</v>
      </c>
      <c r="H52" t="s">
        <v>44</v>
      </c>
      <c r="I52">
        <v>202601</v>
      </c>
      <c r="J52">
        <v>-3809.23</v>
      </c>
      <c r="K52" t="s">
        <v>161</v>
      </c>
      <c r="L52" t="s">
        <v>201</v>
      </c>
      <c r="M52" t="s">
        <v>204</v>
      </c>
      <c r="N52" t="s">
        <v>239</v>
      </c>
      <c r="O52" t="s">
        <v>244</v>
      </c>
      <c r="P52" t="s">
        <v>255</v>
      </c>
      <c r="Q52" t="s">
        <v>270</v>
      </c>
      <c r="R52" t="s">
        <v>303</v>
      </c>
      <c r="S52" t="s">
        <v>315</v>
      </c>
      <c r="T52" t="s">
        <v>316</v>
      </c>
      <c r="U52" t="s">
        <v>319</v>
      </c>
      <c r="V52">
        <v>1</v>
      </c>
      <c r="W52">
        <v>1</v>
      </c>
      <c r="X52" t="s">
        <v>337</v>
      </c>
      <c r="Y52" t="s">
        <v>204</v>
      </c>
      <c r="Z52" t="s">
        <v>239</v>
      </c>
      <c r="AA52" t="s">
        <v>270</v>
      </c>
      <c r="AB52" t="s">
        <v>303</v>
      </c>
      <c r="AC52">
        <v>38646</v>
      </c>
      <c r="AD52" t="s">
        <v>383</v>
      </c>
      <c r="AE52">
        <v>1</v>
      </c>
      <c r="AF52">
        <f t="shared" si="0"/>
        <v>1</v>
      </c>
      <c r="AG52">
        <v>202601</v>
      </c>
    </row>
    <row r="53" spans="1:33" x14ac:dyDescent="0.3">
      <c r="A53">
        <v>89829612717</v>
      </c>
      <c r="B53">
        <v>1203</v>
      </c>
      <c r="C53" t="s">
        <v>33</v>
      </c>
      <c r="D53" t="s">
        <v>34</v>
      </c>
      <c r="E53" t="s">
        <v>37</v>
      </c>
      <c r="F53">
        <v>612717</v>
      </c>
      <c r="G53">
        <v>117486</v>
      </c>
      <c r="H53" t="s">
        <v>84</v>
      </c>
      <c r="I53">
        <v>202601</v>
      </c>
      <c r="J53">
        <v>-29739</v>
      </c>
      <c r="K53" t="s">
        <v>162</v>
      </c>
      <c r="L53" t="s">
        <v>201</v>
      </c>
      <c r="M53" t="s">
        <v>212</v>
      </c>
      <c r="N53" t="s">
        <v>239</v>
      </c>
      <c r="O53" t="s">
        <v>246</v>
      </c>
      <c r="P53" t="s">
        <v>261</v>
      </c>
      <c r="Q53" t="s">
        <v>278</v>
      </c>
      <c r="R53" t="s">
        <v>304</v>
      </c>
      <c r="S53" t="s">
        <v>315</v>
      </c>
      <c r="T53" t="s">
        <v>316</v>
      </c>
      <c r="U53" t="s">
        <v>326</v>
      </c>
      <c r="V53">
        <v>1</v>
      </c>
      <c r="W53">
        <v>1</v>
      </c>
      <c r="X53" t="s">
        <v>337</v>
      </c>
      <c r="Y53" t="s">
        <v>212</v>
      </c>
      <c r="Z53" t="s">
        <v>239</v>
      </c>
      <c r="AA53" t="s">
        <v>278</v>
      </c>
      <c r="AB53" t="s">
        <v>304</v>
      </c>
      <c r="AC53">
        <v>38647</v>
      </c>
      <c r="AD53" t="s">
        <v>384</v>
      </c>
      <c r="AE53">
        <v>1</v>
      </c>
      <c r="AF53">
        <f t="shared" si="0"/>
        <v>1</v>
      </c>
      <c r="AG53">
        <v>202601</v>
      </c>
    </row>
    <row r="54" spans="1:33" x14ac:dyDescent="0.3">
      <c r="A54">
        <v>89830612719</v>
      </c>
      <c r="B54">
        <v>1207</v>
      </c>
      <c r="C54" t="s">
        <v>33</v>
      </c>
      <c r="D54" t="s">
        <v>34</v>
      </c>
      <c r="E54" t="s">
        <v>37</v>
      </c>
      <c r="F54">
        <v>612719</v>
      </c>
      <c r="G54">
        <v>117151</v>
      </c>
      <c r="H54" t="s">
        <v>85</v>
      </c>
      <c r="I54">
        <v>202601</v>
      </c>
      <c r="J54">
        <v>-432.19</v>
      </c>
      <c r="K54" t="s">
        <v>163</v>
      </c>
      <c r="L54" t="s">
        <v>201</v>
      </c>
      <c r="M54" t="s">
        <v>222</v>
      </c>
      <c r="N54" t="s">
        <v>238</v>
      </c>
      <c r="O54" t="s">
        <v>244</v>
      </c>
      <c r="P54" t="s">
        <v>264</v>
      </c>
      <c r="Q54" t="s">
        <v>288</v>
      </c>
      <c r="R54" t="s">
        <v>307</v>
      </c>
      <c r="S54" t="s">
        <v>315</v>
      </c>
      <c r="T54" t="s">
        <v>316</v>
      </c>
      <c r="U54" t="s">
        <v>324</v>
      </c>
      <c r="V54">
        <v>1</v>
      </c>
      <c r="W54">
        <v>1</v>
      </c>
      <c r="X54" t="s">
        <v>337</v>
      </c>
      <c r="Y54" t="s">
        <v>222</v>
      </c>
      <c r="Z54" t="s">
        <v>238</v>
      </c>
      <c r="AA54" t="s">
        <v>288</v>
      </c>
      <c r="AB54" t="s">
        <v>307</v>
      </c>
      <c r="AC54">
        <v>38648</v>
      </c>
      <c r="AD54" t="s">
        <v>385</v>
      </c>
      <c r="AE54">
        <v>1</v>
      </c>
      <c r="AF54">
        <f t="shared" si="0"/>
        <v>1</v>
      </c>
      <c r="AG54">
        <v>202601</v>
      </c>
    </row>
    <row r="55" spans="1:33" x14ac:dyDescent="0.3">
      <c r="A55">
        <v>89832612726</v>
      </c>
      <c r="B55">
        <v>1203</v>
      </c>
      <c r="C55" t="s">
        <v>33</v>
      </c>
      <c r="D55" t="s">
        <v>34</v>
      </c>
      <c r="E55" t="s">
        <v>37</v>
      </c>
      <c r="F55">
        <v>612726</v>
      </c>
      <c r="G55">
        <v>116965</v>
      </c>
      <c r="H55" t="s">
        <v>86</v>
      </c>
      <c r="I55">
        <v>202601</v>
      </c>
      <c r="J55">
        <v>-6600</v>
      </c>
      <c r="K55" t="s">
        <v>164</v>
      </c>
      <c r="L55" t="s">
        <v>201</v>
      </c>
      <c r="M55" t="s">
        <v>206</v>
      </c>
      <c r="N55" t="s">
        <v>239</v>
      </c>
      <c r="O55" t="s">
        <v>244</v>
      </c>
      <c r="P55" t="s">
        <v>256</v>
      </c>
      <c r="Q55" t="s">
        <v>272</v>
      </c>
      <c r="R55" t="s">
        <v>304</v>
      </c>
      <c r="S55" t="s">
        <v>315</v>
      </c>
      <c r="T55" t="s">
        <v>316</v>
      </c>
      <c r="U55" t="s">
        <v>325</v>
      </c>
      <c r="V55">
        <v>1</v>
      </c>
      <c r="W55">
        <v>1</v>
      </c>
      <c r="X55" t="s">
        <v>337</v>
      </c>
      <c r="Y55" t="s">
        <v>206</v>
      </c>
      <c r="Z55" t="s">
        <v>239</v>
      </c>
      <c r="AA55" t="s">
        <v>272</v>
      </c>
      <c r="AB55" t="s">
        <v>304</v>
      </c>
      <c r="AC55">
        <v>38650</v>
      </c>
      <c r="AD55" t="s">
        <v>386</v>
      </c>
      <c r="AE55">
        <v>1</v>
      </c>
      <c r="AF55">
        <f t="shared" si="0"/>
        <v>1</v>
      </c>
      <c r="AG55">
        <v>202601</v>
      </c>
    </row>
    <row r="56" spans="1:33" x14ac:dyDescent="0.3">
      <c r="A56">
        <v>89833612728</v>
      </c>
      <c r="B56">
        <v>1203</v>
      </c>
      <c r="C56" t="s">
        <v>33</v>
      </c>
      <c r="D56" t="s">
        <v>34</v>
      </c>
      <c r="E56" t="s">
        <v>37</v>
      </c>
      <c r="F56">
        <v>612728</v>
      </c>
      <c r="G56">
        <v>116961</v>
      </c>
      <c r="H56" t="s">
        <v>86</v>
      </c>
      <c r="I56">
        <v>202601</v>
      </c>
      <c r="J56">
        <v>-6600</v>
      </c>
      <c r="K56" t="s">
        <v>165</v>
      </c>
      <c r="L56" t="s">
        <v>201</v>
      </c>
      <c r="M56" t="s">
        <v>206</v>
      </c>
      <c r="N56" t="s">
        <v>239</v>
      </c>
      <c r="O56" t="s">
        <v>244</v>
      </c>
      <c r="P56" t="s">
        <v>256</v>
      </c>
      <c r="Q56" t="s">
        <v>272</v>
      </c>
      <c r="R56" t="s">
        <v>304</v>
      </c>
      <c r="S56" t="s">
        <v>315</v>
      </c>
      <c r="T56" t="s">
        <v>316</v>
      </c>
      <c r="U56" t="s">
        <v>325</v>
      </c>
      <c r="V56">
        <v>1</v>
      </c>
      <c r="W56">
        <v>1</v>
      </c>
      <c r="X56" t="s">
        <v>337</v>
      </c>
      <c r="Y56" t="s">
        <v>206</v>
      </c>
      <c r="Z56" t="s">
        <v>239</v>
      </c>
      <c r="AA56" t="s">
        <v>272</v>
      </c>
      <c r="AB56" t="s">
        <v>304</v>
      </c>
      <c r="AC56">
        <v>38651</v>
      </c>
      <c r="AD56" t="s">
        <v>387</v>
      </c>
      <c r="AE56">
        <v>1</v>
      </c>
      <c r="AF56">
        <f t="shared" si="0"/>
        <v>1</v>
      </c>
      <c r="AG56">
        <v>202601</v>
      </c>
    </row>
    <row r="57" spans="1:33" x14ac:dyDescent="0.3">
      <c r="A57">
        <v>89834612730</v>
      </c>
      <c r="B57">
        <v>1207</v>
      </c>
      <c r="C57" t="s">
        <v>33</v>
      </c>
      <c r="D57" t="s">
        <v>34</v>
      </c>
      <c r="E57" t="s">
        <v>37</v>
      </c>
      <c r="F57">
        <v>612730</v>
      </c>
      <c r="G57">
        <v>116929</v>
      </c>
      <c r="H57" t="s">
        <v>87</v>
      </c>
      <c r="I57">
        <v>202601</v>
      </c>
      <c r="J57">
        <v>-861.2</v>
      </c>
      <c r="K57" t="s">
        <v>166</v>
      </c>
      <c r="L57" t="s">
        <v>201</v>
      </c>
      <c r="M57" t="s">
        <v>223</v>
      </c>
      <c r="N57" t="s">
        <v>238</v>
      </c>
      <c r="O57" t="s">
        <v>244</v>
      </c>
      <c r="P57" t="s">
        <v>264</v>
      </c>
      <c r="Q57" t="s">
        <v>289</v>
      </c>
      <c r="R57" t="s">
        <v>307</v>
      </c>
      <c r="S57" t="s">
        <v>315</v>
      </c>
      <c r="T57" t="s">
        <v>316</v>
      </c>
      <c r="U57" t="s">
        <v>324</v>
      </c>
      <c r="V57">
        <v>1</v>
      </c>
      <c r="W57">
        <v>1</v>
      </c>
      <c r="X57" t="s">
        <v>337</v>
      </c>
      <c r="Y57" t="s">
        <v>223</v>
      </c>
      <c r="Z57" t="s">
        <v>238</v>
      </c>
      <c r="AA57" t="s">
        <v>289</v>
      </c>
      <c r="AB57" t="s">
        <v>307</v>
      </c>
      <c r="AC57">
        <v>38652</v>
      </c>
      <c r="AD57" t="s">
        <v>388</v>
      </c>
      <c r="AE57">
        <v>1</v>
      </c>
      <c r="AF57">
        <f t="shared" si="0"/>
        <v>1</v>
      </c>
      <c r="AG57">
        <v>202601</v>
      </c>
    </row>
    <row r="58" spans="1:33" x14ac:dyDescent="0.3">
      <c r="A58">
        <v>89838612741</v>
      </c>
      <c r="B58">
        <v>1229</v>
      </c>
      <c r="C58" t="s">
        <v>33</v>
      </c>
      <c r="D58" t="s">
        <v>34</v>
      </c>
      <c r="E58" t="s">
        <v>37</v>
      </c>
      <c r="F58">
        <v>612741</v>
      </c>
      <c r="G58">
        <v>116883</v>
      </c>
      <c r="H58" t="s">
        <v>88</v>
      </c>
      <c r="I58">
        <v>202601</v>
      </c>
      <c r="J58">
        <v>-364.74</v>
      </c>
      <c r="K58" t="s">
        <v>167</v>
      </c>
      <c r="L58" t="s">
        <v>201</v>
      </c>
      <c r="M58" t="s">
        <v>219</v>
      </c>
      <c r="N58" t="s">
        <v>239</v>
      </c>
      <c r="O58" t="s">
        <v>247</v>
      </c>
      <c r="P58" t="s">
        <v>247</v>
      </c>
      <c r="Q58" t="s">
        <v>285</v>
      </c>
      <c r="R58" t="s">
        <v>303</v>
      </c>
      <c r="S58" t="s">
        <v>315</v>
      </c>
      <c r="T58" t="s">
        <v>316</v>
      </c>
      <c r="U58" t="s">
        <v>325</v>
      </c>
      <c r="V58">
        <v>1</v>
      </c>
      <c r="W58">
        <v>1</v>
      </c>
      <c r="X58" t="s">
        <v>336</v>
      </c>
      <c r="Y58" t="s">
        <v>219</v>
      </c>
      <c r="Z58" t="s">
        <v>239</v>
      </c>
      <c r="AA58" t="s">
        <v>285</v>
      </c>
      <c r="AB58" t="s">
        <v>303</v>
      </c>
      <c r="AC58">
        <v>38653</v>
      </c>
      <c r="AD58" t="s">
        <v>389</v>
      </c>
      <c r="AE58">
        <v>1</v>
      </c>
      <c r="AF58">
        <f t="shared" si="0"/>
        <v>2</v>
      </c>
      <c r="AG58">
        <v>202601</v>
      </c>
    </row>
    <row r="59" spans="1:33" x14ac:dyDescent="0.3">
      <c r="A59">
        <v>89838612742</v>
      </c>
      <c r="B59">
        <v>1229</v>
      </c>
      <c r="C59" t="s">
        <v>33</v>
      </c>
      <c r="D59" t="s">
        <v>34</v>
      </c>
      <c r="E59" t="s">
        <v>37</v>
      </c>
      <c r="F59">
        <v>612742</v>
      </c>
      <c r="G59">
        <v>116883</v>
      </c>
      <c r="H59" t="s">
        <v>88</v>
      </c>
      <c r="I59">
        <v>202601</v>
      </c>
      <c r="J59">
        <v>-239.98</v>
      </c>
      <c r="K59" t="s">
        <v>167</v>
      </c>
      <c r="L59" t="s">
        <v>201</v>
      </c>
      <c r="M59" t="s">
        <v>224</v>
      </c>
      <c r="N59" t="s">
        <v>239</v>
      </c>
      <c r="O59" t="s">
        <v>244</v>
      </c>
      <c r="P59" t="s">
        <v>263</v>
      </c>
      <c r="Q59" t="s">
        <v>290</v>
      </c>
      <c r="R59" t="s">
        <v>304</v>
      </c>
      <c r="S59" t="s">
        <v>315</v>
      </c>
      <c r="T59" t="s">
        <v>316</v>
      </c>
      <c r="U59" t="s">
        <v>325</v>
      </c>
      <c r="V59">
        <v>1</v>
      </c>
      <c r="W59">
        <v>1</v>
      </c>
      <c r="X59" t="s">
        <v>336</v>
      </c>
      <c r="Y59" t="s">
        <v>224</v>
      </c>
      <c r="Z59" t="s">
        <v>239</v>
      </c>
      <c r="AA59" t="s">
        <v>290</v>
      </c>
      <c r="AB59" t="s">
        <v>304</v>
      </c>
      <c r="AC59">
        <v>38653</v>
      </c>
      <c r="AD59" t="s">
        <v>389</v>
      </c>
      <c r="AE59">
        <v>2</v>
      </c>
      <c r="AF59">
        <f t="shared" si="0"/>
        <v>2</v>
      </c>
      <c r="AG59">
        <v>202601</v>
      </c>
    </row>
    <row r="60" spans="1:33" x14ac:dyDescent="0.3">
      <c r="A60">
        <v>89836612735</v>
      </c>
      <c r="B60">
        <v>1207</v>
      </c>
      <c r="C60" t="s">
        <v>33</v>
      </c>
      <c r="D60" t="s">
        <v>34</v>
      </c>
      <c r="E60" t="s">
        <v>37</v>
      </c>
      <c r="F60">
        <v>612735</v>
      </c>
      <c r="G60">
        <v>116878</v>
      </c>
      <c r="H60" t="s">
        <v>89</v>
      </c>
      <c r="I60">
        <v>202601</v>
      </c>
      <c r="J60">
        <v>-221.38</v>
      </c>
      <c r="K60" t="s">
        <v>168</v>
      </c>
      <c r="L60" t="s">
        <v>201</v>
      </c>
      <c r="M60" t="s">
        <v>225</v>
      </c>
      <c r="N60" t="s">
        <v>239</v>
      </c>
      <c r="O60" t="s">
        <v>244</v>
      </c>
      <c r="P60" t="s">
        <v>265</v>
      </c>
      <c r="Q60" t="s">
        <v>291</v>
      </c>
      <c r="R60" t="s">
        <v>303</v>
      </c>
      <c r="S60" t="s">
        <v>315</v>
      </c>
      <c r="T60" t="s">
        <v>316</v>
      </c>
      <c r="U60" t="s">
        <v>325</v>
      </c>
      <c r="V60">
        <v>1</v>
      </c>
      <c r="W60">
        <v>1</v>
      </c>
      <c r="X60" t="s">
        <v>337</v>
      </c>
      <c r="Y60" t="s">
        <v>225</v>
      </c>
      <c r="Z60" t="s">
        <v>239</v>
      </c>
      <c r="AA60" t="s">
        <v>291</v>
      </c>
      <c r="AB60" t="s">
        <v>303</v>
      </c>
      <c r="AC60">
        <v>38655</v>
      </c>
      <c r="AD60" t="s">
        <v>390</v>
      </c>
      <c r="AE60">
        <v>1</v>
      </c>
      <c r="AF60">
        <f t="shared" si="0"/>
        <v>2</v>
      </c>
      <c r="AG60">
        <v>202601</v>
      </c>
    </row>
    <row r="61" spans="1:33" x14ac:dyDescent="0.3">
      <c r="A61">
        <v>89836612736</v>
      </c>
      <c r="B61">
        <v>1207</v>
      </c>
      <c r="C61" t="s">
        <v>33</v>
      </c>
      <c r="D61" t="s">
        <v>34</v>
      </c>
      <c r="E61" t="s">
        <v>37</v>
      </c>
      <c r="F61">
        <v>612736</v>
      </c>
      <c r="G61">
        <v>116878</v>
      </c>
      <c r="H61" t="s">
        <v>89</v>
      </c>
      <c r="I61">
        <v>202601</v>
      </c>
      <c r="J61">
        <v>-123.68</v>
      </c>
      <c r="K61" t="s">
        <v>168</v>
      </c>
      <c r="L61" t="s">
        <v>201</v>
      </c>
      <c r="M61" t="s">
        <v>219</v>
      </c>
      <c r="N61" t="s">
        <v>239</v>
      </c>
      <c r="O61" t="s">
        <v>247</v>
      </c>
      <c r="P61" t="s">
        <v>247</v>
      </c>
      <c r="Q61" t="s">
        <v>285</v>
      </c>
      <c r="R61" t="s">
        <v>303</v>
      </c>
      <c r="S61" t="s">
        <v>315</v>
      </c>
      <c r="T61" t="s">
        <v>316</v>
      </c>
      <c r="U61" t="s">
        <v>325</v>
      </c>
      <c r="V61">
        <v>1</v>
      </c>
      <c r="W61">
        <v>1</v>
      </c>
      <c r="X61" t="s">
        <v>337</v>
      </c>
      <c r="Y61" t="s">
        <v>219</v>
      </c>
      <c r="Z61" t="s">
        <v>239</v>
      </c>
      <c r="AA61" t="s">
        <v>285</v>
      </c>
      <c r="AB61" t="s">
        <v>303</v>
      </c>
      <c r="AC61">
        <v>38655</v>
      </c>
      <c r="AD61" t="s">
        <v>390</v>
      </c>
      <c r="AE61">
        <v>2</v>
      </c>
      <c r="AF61">
        <f t="shared" si="0"/>
        <v>2</v>
      </c>
      <c r="AG61">
        <v>202601</v>
      </c>
    </row>
    <row r="62" spans="1:33" x14ac:dyDescent="0.3">
      <c r="A62">
        <v>89837612738</v>
      </c>
      <c r="B62">
        <v>1229</v>
      </c>
      <c r="C62" t="s">
        <v>33</v>
      </c>
      <c r="D62" t="s">
        <v>34</v>
      </c>
      <c r="E62" t="s">
        <v>37</v>
      </c>
      <c r="F62">
        <v>612738</v>
      </c>
      <c r="G62">
        <v>115816</v>
      </c>
      <c r="H62" t="s">
        <v>90</v>
      </c>
      <c r="I62">
        <v>202601</v>
      </c>
      <c r="J62">
        <v>-2504.1999999999998</v>
      </c>
      <c r="K62" t="s">
        <v>169</v>
      </c>
      <c r="L62" t="s">
        <v>201</v>
      </c>
      <c r="M62" t="s">
        <v>226</v>
      </c>
      <c r="N62" t="s">
        <v>239</v>
      </c>
      <c r="O62" t="s">
        <v>250</v>
      </c>
      <c r="P62" t="s">
        <v>250</v>
      </c>
      <c r="Q62" t="s">
        <v>292</v>
      </c>
      <c r="R62" t="s">
        <v>312</v>
      </c>
      <c r="S62" t="s">
        <v>315</v>
      </c>
      <c r="T62" t="s">
        <v>316</v>
      </c>
      <c r="U62" t="s">
        <v>324</v>
      </c>
      <c r="V62">
        <v>1</v>
      </c>
      <c r="W62">
        <v>1</v>
      </c>
      <c r="X62" t="s">
        <v>337</v>
      </c>
      <c r="Y62" t="s">
        <v>226</v>
      </c>
      <c r="Z62" t="s">
        <v>239</v>
      </c>
      <c r="AA62" t="s">
        <v>292</v>
      </c>
      <c r="AB62" t="s">
        <v>312</v>
      </c>
      <c r="AC62">
        <v>38658</v>
      </c>
      <c r="AD62" t="s">
        <v>391</v>
      </c>
      <c r="AE62">
        <v>1</v>
      </c>
      <c r="AF62">
        <f t="shared" si="0"/>
        <v>2</v>
      </c>
      <c r="AG62">
        <v>202601</v>
      </c>
    </row>
    <row r="63" spans="1:33" x14ac:dyDescent="0.3">
      <c r="A63">
        <v>89837612739</v>
      </c>
      <c r="B63">
        <v>1229</v>
      </c>
      <c r="C63" t="s">
        <v>33</v>
      </c>
      <c r="D63" t="s">
        <v>34</v>
      </c>
      <c r="E63" t="s">
        <v>37</v>
      </c>
      <c r="F63">
        <v>612739</v>
      </c>
      <c r="G63">
        <v>115816</v>
      </c>
      <c r="H63" t="s">
        <v>90</v>
      </c>
      <c r="I63">
        <v>202601</v>
      </c>
      <c r="J63">
        <v>-66</v>
      </c>
      <c r="K63" t="s">
        <v>169</v>
      </c>
      <c r="L63" t="s">
        <v>201</v>
      </c>
      <c r="M63" t="s">
        <v>227</v>
      </c>
      <c r="N63" t="s">
        <v>239</v>
      </c>
      <c r="O63" t="s">
        <v>244</v>
      </c>
      <c r="P63" t="s">
        <v>255</v>
      </c>
      <c r="Q63" t="s">
        <v>293</v>
      </c>
      <c r="R63" t="s">
        <v>303</v>
      </c>
      <c r="S63" t="s">
        <v>315</v>
      </c>
      <c r="T63" t="s">
        <v>316</v>
      </c>
      <c r="U63" t="s">
        <v>324</v>
      </c>
      <c r="V63">
        <v>1</v>
      </c>
      <c r="W63">
        <v>1</v>
      </c>
      <c r="X63" t="s">
        <v>337</v>
      </c>
      <c r="Y63" t="s">
        <v>227</v>
      </c>
      <c r="Z63" t="s">
        <v>239</v>
      </c>
      <c r="AA63" t="s">
        <v>293</v>
      </c>
      <c r="AB63" t="s">
        <v>303</v>
      </c>
      <c r="AC63">
        <v>38658</v>
      </c>
      <c r="AD63" t="s">
        <v>391</v>
      </c>
      <c r="AE63">
        <v>2</v>
      </c>
      <c r="AF63">
        <f t="shared" si="0"/>
        <v>2</v>
      </c>
      <c r="AG63">
        <v>202601</v>
      </c>
    </row>
    <row r="64" spans="1:33" x14ac:dyDescent="0.3">
      <c r="A64">
        <v>89847612758</v>
      </c>
      <c r="B64">
        <v>1203</v>
      </c>
      <c r="C64" t="s">
        <v>33</v>
      </c>
      <c r="D64" t="s">
        <v>34</v>
      </c>
      <c r="E64" t="s">
        <v>37</v>
      </c>
      <c r="F64">
        <v>612758</v>
      </c>
      <c r="G64">
        <v>119108</v>
      </c>
      <c r="H64" t="s">
        <v>91</v>
      </c>
      <c r="I64">
        <v>202601</v>
      </c>
      <c r="J64">
        <v>-20000</v>
      </c>
      <c r="K64" t="s">
        <v>170</v>
      </c>
      <c r="L64" t="s">
        <v>201</v>
      </c>
      <c r="M64" t="s">
        <v>206</v>
      </c>
      <c r="N64" t="s">
        <v>239</v>
      </c>
      <c r="O64" t="s">
        <v>244</v>
      </c>
      <c r="P64" t="s">
        <v>256</v>
      </c>
      <c r="Q64" t="s">
        <v>272</v>
      </c>
      <c r="R64" t="s">
        <v>304</v>
      </c>
      <c r="S64" t="s">
        <v>315</v>
      </c>
      <c r="T64" t="s">
        <v>316</v>
      </c>
      <c r="U64" t="s">
        <v>327</v>
      </c>
      <c r="V64">
        <v>1</v>
      </c>
      <c r="W64">
        <v>1</v>
      </c>
      <c r="X64" t="s">
        <v>337</v>
      </c>
      <c r="Y64" t="s">
        <v>206</v>
      </c>
      <c r="Z64" t="s">
        <v>239</v>
      </c>
      <c r="AA64" t="s">
        <v>272</v>
      </c>
      <c r="AB64" t="s">
        <v>304</v>
      </c>
      <c r="AC64">
        <v>38660</v>
      </c>
      <c r="AD64" t="s">
        <v>392</v>
      </c>
      <c r="AE64">
        <v>1</v>
      </c>
      <c r="AF64">
        <f t="shared" si="0"/>
        <v>1</v>
      </c>
      <c r="AG64">
        <v>202601</v>
      </c>
    </row>
    <row r="65" spans="1:33" x14ac:dyDescent="0.3">
      <c r="A65">
        <v>89848612760</v>
      </c>
      <c r="B65">
        <v>1207</v>
      </c>
      <c r="C65" t="s">
        <v>33</v>
      </c>
      <c r="D65" t="s">
        <v>34</v>
      </c>
      <c r="E65" t="s">
        <v>37</v>
      </c>
      <c r="F65">
        <v>612760</v>
      </c>
      <c r="G65">
        <v>116875</v>
      </c>
      <c r="H65" t="s">
        <v>89</v>
      </c>
      <c r="I65">
        <v>202601</v>
      </c>
      <c r="J65">
        <v>-245.62</v>
      </c>
      <c r="K65" t="s">
        <v>171</v>
      </c>
      <c r="L65" t="s">
        <v>201</v>
      </c>
      <c r="M65" t="s">
        <v>225</v>
      </c>
      <c r="N65" t="s">
        <v>239</v>
      </c>
      <c r="O65" t="s">
        <v>244</v>
      </c>
      <c r="P65" t="s">
        <v>265</v>
      </c>
      <c r="Q65" t="s">
        <v>291</v>
      </c>
      <c r="R65" t="s">
        <v>303</v>
      </c>
      <c r="S65" t="s">
        <v>315</v>
      </c>
      <c r="T65" t="s">
        <v>316</v>
      </c>
      <c r="U65" t="s">
        <v>325</v>
      </c>
      <c r="V65">
        <v>1</v>
      </c>
      <c r="W65">
        <v>1</v>
      </c>
      <c r="X65" t="s">
        <v>337</v>
      </c>
      <c r="Y65" t="s">
        <v>225</v>
      </c>
      <c r="Z65" t="s">
        <v>239</v>
      </c>
      <c r="AA65" t="s">
        <v>291</v>
      </c>
      <c r="AB65" t="s">
        <v>303</v>
      </c>
      <c r="AC65">
        <v>38661</v>
      </c>
      <c r="AD65" t="s">
        <v>393</v>
      </c>
      <c r="AE65">
        <v>1</v>
      </c>
      <c r="AF65">
        <f t="shared" si="0"/>
        <v>3</v>
      </c>
      <c r="AG65">
        <v>202601</v>
      </c>
    </row>
    <row r="66" spans="1:33" x14ac:dyDescent="0.3">
      <c r="A66">
        <v>89848612761</v>
      </c>
      <c r="B66">
        <v>1207</v>
      </c>
      <c r="C66" t="s">
        <v>33</v>
      </c>
      <c r="D66" t="s">
        <v>34</v>
      </c>
      <c r="E66" t="s">
        <v>37</v>
      </c>
      <c r="F66">
        <v>612761</v>
      </c>
      <c r="G66">
        <v>116875</v>
      </c>
      <c r="H66" t="s">
        <v>89</v>
      </c>
      <c r="I66">
        <v>202601</v>
      </c>
      <c r="J66">
        <v>-127.9</v>
      </c>
      <c r="K66" t="s">
        <v>171</v>
      </c>
      <c r="L66" t="s">
        <v>201</v>
      </c>
      <c r="M66" t="s">
        <v>228</v>
      </c>
      <c r="N66" t="s">
        <v>239</v>
      </c>
      <c r="O66" t="s">
        <v>244</v>
      </c>
      <c r="P66" t="s">
        <v>265</v>
      </c>
      <c r="Q66" t="s">
        <v>294</v>
      </c>
      <c r="R66" t="s">
        <v>303</v>
      </c>
      <c r="S66" t="s">
        <v>315</v>
      </c>
      <c r="T66" t="s">
        <v>316</v>
      </c>
      <c r="U66" t="s">
        <v>325</v>
      </c>
      <c r="V66">
        <v>1</v>
      </c>
      <c r="W66">
        <v>1</v>
      </c>
      <c r="X66" t="s">
        <v>337</v>
      </c>
      <c r="Y66" t="s">
        <v>228</v>
      </c>
      <c r="Z66" t="s">
        <v>239</v>
      </c>
      <c r="AA66" t="s">
        <v>294</v>
      </c>
      <c r="AB66" t="s">
        <v>303</v>
      </c>
      <c r="AC66">
        <v>38661</v>
      </c>
      <c r="AD66" t="s">
        <v>393</v>
      </c>
      <c r="AE66">
        <v>2</v>
      </c>
      <c r="AF66">
        <f t="shared" si="0"/>
        <v>3</v>
      </c>
      <c r="AG66">
        <v>202601</v>
      </c>
    </row>
    <row r="67" spans="1:33" x14ac:dyDescent="0.3">
      <c r="A67">
        <v>89848612763</v>
      </c>
      <c r="B67">
        <v>1207</v>
      </c>
      <c r="C67" t="s">
        <v>33</v>
      </c>
      <c r="D67" t="s">
        <v>34</v>
      </c>
      <c r="E67" t="s">
        <v>37</v>
      </c>
      <c r="F67">
        <v>612763</v>
      </c>
      <c r="H67" t="s">
        <v>89</v>
      </c>
      <c r="I67">
        <v>202601</v>
      </c>
      <c r="J67">
        <v>47.9</v>
      </c>
      <c r="K67" t="s">
        <v>171</v>
      </c>
      <c r="L67" t="s">
        <v>201</v>
      </c>
      <c r="M67" t="s">
        <v>229</v>
      </c>
      <c r="N67" t="s">
        <v>241</v>
      </c>
      <c r="O67" t="s">
        <v>251</v>
      </c>
      <c r="P67" t="s">
        <v>266</v>
      </c>
      <c r="Q67" t="s">
        <v>295</v>
      </c>
      <c r="R67" t="s">
        <v>251</v>
      </c>
      <c r="S67" t="s">
        <v>315</v>
      </c>
      <c r="T67" t="s">
        <v>316</v>
      </c>
      <c r="U67" t="s">
        <v>325</v>
      </c>
      <c r="V67">
        <v>1</v>
      </c>
      <c r="W67">
        <v>1</v>
      </c>
      <c r="X67" t="s">
        <v>337</v>
      </c>
      <c r="Y67" t="s">
        <v>229</v>
      </c>
      <c r="Z67" t="s">
        <v>241</v>
      </c>
      <c r="AA67" t="s">
        <v>295</v>
      </c>
      <c r="AB67" t="s">
        <v>251</v>
      </c>
      <c r="AC67">
        <v>38661</v>
      </c>
      <c r="AD67" t="s">
        <v>393</v>
      </c>
      <c r="AE67">
        <v>3</v>
      </c>
      <c r="AF67">
        <f t="shared" ref="AF67:AF101" si="1">COUNTIF(AD:AD,AD67)</f>
        <v>3</v>
      </c>
      <c r="AG67">
        <v>202601</v>
      </c>
    </row>
    <row r="68" spans="1:33" x14ac:dyDescent="0.3">
      <c r="A68">
        <v>89849612764</v>
      </c>
      <c r="B68">
        <v>1229</v>
      </c>
      <c r="C68" t="s">
        <v>33</v>
      </c>
      <c r="D68" t="s">
        <v>34</v>
      </c>
      <c r="E68" t="s">
        <v>37</v>
      </c>
      <c r="F68">
        <v>612764</v>
      </c>
      <c r="G68">
        <v>112052</v>
      </c>
      <c r="H68" t="s">
        <v>92</v>
      </c>
      <c r="I68">
        <v>202601</v>
      </c>
      <c r="J68">
        <v>-8403.4</v>
      </c>
      <c r="K68" t="s">
        <v>172</v>
      </c>
      <c r="L68" t="s">
        <v>201</v>
      </c>
      <c r="M68" t="s">
        <v>230</v>
      </c>
      <c r="N68" t="s">
        <v>239</v>
      </c>
      <c r="O68" t="s">
        <v>252</v>
      </c>
      <c r="P68" t="s">
        <v>267</v>
      </c>
      <c r="Q68" t="s">
        <v>277</v>
      </c>
      <c r="R68" t="s">
        <v>313</v>
      </c>
      <c r="S68" t="s">
        <v>315</v>
      </c>
      <c r="T68" t="s">
        <v>316</v>
      </c>
      <c r="U68" t="s">
        <v>324</v>
      </c>
      <c r="V68">
        <v>1</v>
      </c>
      <c r="W68">
        <v>1</v>
      </c>
      <c r="X68" t="s">
        <v>337</v>
      </c>
      <c r="Y68" t="s">
        <v>230</v>
      </c>
      <c r="Z68" t="s">
        <v>239</v>
      </c>
      <c r="AA68" t="s">
        <v>277</v>
      </c>
      <c r="AB68" t="s">
        <v>313</v>
      </c>
      <c r="AC68">
        <v>38662</v>
      </c>
      <c r="AD68" t="s">
        <v>394</v>
      </c>
      <c r="AE68">
        <v>1</v>
      </c>
      <c r="AF68">
        <f t="shared" si="1"/>
        <v>5</v>
      </c>
      <c r="AG68">
        <v>202601</v>
      </c>
    </row>
    <row r="69" spans="1:33" x14ac:dyDescent="0.3">
      <c r="A69">
        <v>89849612765</v>
      </c>
      <c r="B69">
        <v>1229</v>
      </c>
      <c r="C69" t="s">
        <v>33</v>
      </c>
      <c r="D69" t="s">
        <v>34</v>
      </c>
      <c r="E69" t="s">
        <v>37</v>
      </c>
      <c r="F69">
        <v>612765</v>
      </c>
      <c r="G69">
        <v>112052</v>
      </c>
      <c r="H69" t="s">
        <v>92</v>
      </c>
      <c r="I69">
        <v>202601</v>
      </c>
      <c r="J69">
        <v>-3400</v>
      </c>
      <c r="K69" t="s">
        <v>172</v>
      </c>
      <c r="L69" t="s">
        <v>201</v>
      </c>
      <c r="M69" t="s">
        <v>222</v>
      </c>
      <c r="N69" t="s">
        <v>238</v>
      </c>
      <c r="O69" t="s">
        <v>244</v>
      </c>
      <c r="P69" t="s">
        <v>264</v>
      </c>
      <c r="Q69" t="s">
        <v>288</v>
      </c>
      <c r="R69" t="s">
        <v>307</v>
      </c>
      <c r="S69" t="s">
        <v>315</v>
      </c>
      <c r="T69" t="s">
        <v>316</v>
      </c>
      <c r="U69" t="s">
        <v>324</v>
      </c>
      <c r="V69">
        <v>1</v>
      </c>
      <c r="W69">
        <v>1</v>
      </c>
      <c r="X69" t="s">
        <v>337</v>
      </c>
      <c r="Y69" t="s">
        <v>222</v>
      </c>
      <c r="Z69" t="s">
        <v>238</v>
      </c>
      <c r="AA69" t="s">
        <v>288</v>
      </c>
      <c r="AB69" t="s">
        <v>307</v>
      </c>
      <c r="AC69">
        <v>38662</v>
      </c>
      <c r="AD69" t="s">
        <v>394</v>
      </c>
      <c r="AE69">
        <v>2</v>
      </c>
      <c r="AF69">
        <f t="shared" si="1"/>
        <v>5</v>
      </c>
      <c r="AG69">
        <v>202601</v>
      </c>
    </row>
    <row r="70" spans="1:33" x14ac:dyDescent="0.3">
      <c r="A70">
        <v>89849612766</v>
      </c>
      <c r="B70">
        <v>1229</v>
      </c>
      <c r="C70" t="s">
        <v>33</v>
      </c>
      <c r="D70" t="s">
        <v>34</v>
      </c>
      <c r="E70" t="s">
        <v>37</v>
      </c>
      <c r="F70">
        <v>612766</v>
      </c>
      <c r="G70">
        <v>112052</v>
      </c>
      <c r="H70" t="s">
        <v>92</v>
      </c>
      <c r="I70">
        <v>202601</v>
      </c>
      <c r="J70">
        <v>-1477.28</v>
      </c>
      <c r="K70" t="s">
        <v>172</v>
      </c>
      <c r="L70" t="s">
        <v>201</v>
      </c>
      <c r="M70" t="s">
        <v>231</v>
      </c>
      <c r="N70" t="s">
        <v>239</v>
      </c>
      <c r="O70" t="s">
        <v>243</v>
      </c>
      <c r="P70" t="s">
        <v>254</v>
      </c>
      <c r="Q70" t="s">
        <v>296</v>
      </c>
      <c r="R70" t="s">
        <v>303</v>
      </c>
      <c r="S70" t="s">
        <v>315</v>
      </c>
      <c r="T70" t="s">
        <v>316</v>
      </c>
      <c r="U70" t="s">
        <v>324</v>
      </c>
      <c r="V70">
        <v>1</v>
      </c>
      <c r="W70">
        <v>1</v>
      </c>
      <c r="X70" t="s">
        <v>337</v>
      </c>
      <c r="Y70" t="s">
        <v>231</v>
      </c>
      <c r="Z70" t="s">
        <v>239</v>
      </c>
      <c r="AA70" t="s">
        <v>296</v>
      </c>
      <c r="AB70" t="s">
        <v>303</v>
      </c>
      <c r="AC70">
        <v>38662</v>
      </c>
      <c r="AD70" t="s">
        <v>394</v>
      </c>
      <c r="AE70">
        <v>3</v>
      </c>
      <c r="AF70">
        <f t="shared" si="1"/>
        <v>5</v>
      </c>
      <c r="AG70">
        <v>202601</v>
      </c>
    </row>
    <row r="71" spans="1:33" x14ac:dyDescent="0.3">
      <c r="A71">
        <v>89849612767</v>
      </c>
      <c r="B71">
        <v>1229</v>
      </c>
      <c r="C71" t="s">
        <v>33</v>
      </c>
      <c r="D71" t="s">
        <v>34</v>
      </c>
      <c r="E71" t="s">
        <v>37</v>
      </c>
      <c r="F71">
        <v>612767</v>
      </c>
      <c r="G71">
        <v>112052</v>
      </c>
      <c r="H71" t="s">
        <v>92</v>
      </c>
      <c r="I71">
        <v>202601</v>
      </c>
      <c r="J71">
        <v>-1414.6</v>
      </c>
      <c r="K71" t="s">
        <v>172</v>
      </c>
      <c r="L71" t="s">
        <v>201</v>
      </c>
      <c r="M71" t="s">
        <v>203</v>
      </c>
      <c r="N71" t="s">
        <v>239</v>
      </c>
      <c r="O71" t="s">
        <v>243</v>
      </c>
      <c r="P71" t="s">
        <v>254</v>
      </c>
      <c r="Q71" t="s">
        <v>269</v>
      </c>
      <c r="R71" t="s">
        <v>303</v>
      </c>
      <c r="S71" t="s">
        <v>315</v>
      </c>
      <c r="T71" t="s">
        <v>316</v>
      </c>
      <c r="U71" t="s">
        <v>324</v>
      </c>
      <c r="V71">
        <v>1</v>
      </c>
      <c r="W71">
        <v>1</v>
      </c>
      <c r="X71" t="s">
        <v>337</v>
      </c>
      <c r="Y71" t="s">
        <v>203</v>
      </c>
      <c r="Z71" t="s">
        <v>239</v>
      </c>
      <c r="AA71" t="s">
        <v>269</v>
      </c>
      <c r="AB71" t="s">
        <v>303</v>
      </c>
      <c r="AC71">
        <v>38662</v>
      </c>
      <c r="AD71" t="s">
        <v>394</v>
      </c>
      <c r="AE71">
        <v>4</v>
      </c>
      <c r="AF71">
        <f t="shared" si="1"/>
        <v>5</v>
      </c>
      <c r="AG71">
        <v>202601</v>
      </c>
    </row>
    <row r="72" spans="1:33" x14ac:dyDescent="0.3">
      <c r="A72">
        <v>89849612768</v>
      </c>
      <c r="B72">
        <v>1229</v>
      </c>
      <c r="C72" t="s">
        <v>33</v>
      </c>
      <c r="D72" t="s">
        <v>34</v>
      </c>
      <c r="E72" t="s">
        <v>37</v>
      </c>
      <c r="F72">
        <v>612768</v>
      </c>
      <c r="G72">
        <v>112052</v>
      </c>
      <c r="H72" t="s">
        <v>92</v>
      </c>
      <c r="I72">
        <v>202601</v>
      </c>
      <c r="J72">
        <v>-391.96</v>
      </c>
      <c r="K72" t="s">
        <v>172</v>
      </c>
      <c r="L72" t="s">
        <v>201</v>
      </c>
      <c r="M72" t="s">
        <v>218</v>
      </c>
      <c r="N72" t="s">
        <v>239</v>
      </c>
      <c r="O72" t="s">
        <v>244</v>
      </c>
      <c r="P72" t="s">
        <v>255</v>
      </c>
      <c r="Q72" t="s">
        <v>284</v>
      </c>
      <c r="R72" t="s">
        <v>303</v>
      </c>
      <c r="S72" t="s">
        <v>315</v>
      </c>
      <c r="T72" t="s">
        <v>316</v>
      </c>
      <c r="U72" t="s">
        <v>324</v>
      </c>
      <c r="V72">
        <v>1</v>
      </c>
      <c r="W72">
        <v>1</v>
      </c>
      <c r="X72" t="s">
        <v>337</v>
      </c>
      <c r="Y72" t="s">
        <v>218</v>
      </c>
      <c r="Z72" t="s">
        <v>239</v>
      </c>
      <c r="AA72" t="s">
        <v>284</v>
      </c>
      <c r="AB72" t="s">
        <v>303</v>
      </c>
      <c r="AC72">
        <v>38662</v>
      </c>
      <c r="AD72" t="s">
        <v>394</v>
      </c>
      <c r="AE72">
        <v>5</v>
      </c>
      <c r="AF72">
        <f t="shared" si="1"/>
        <v>5</v>
      </c>
      <c r="AG72">
        <v>202601</v>
      </c>
    </row>
    <row r="73" spans="1:33" x14ac:dyDescent="0.3">
      <c r="A73">
        <v>89850612770</v>
      </c>
      <c r="B73">
        <v>1203</v>
      </c>
      <c r="C73" t="s">
        <v>33</v>
      </c>
      <c r="D73" t="s">
        <v>34</v>
      </c>
      <c r="E73" t="s">
        <v>37</v>
      </c>
      <c r="F73">
        <v>612770</v>
      </c>
      <c r="G73">
        <v>119297</v>
      </c>
      <c r="H73" t="s">
        <v>93</v>
      </c>
      <c r="I73">
        <v>202601</v>
      </c>
      <c r="J73">
        <v>-22000</v>
      </c>
      <c r="K73" t="s">
        <v>173</v>
      </c>
      <c r="L73" t="s">
        <v>201</v>
      </c>
      <c r="M73" t="s">
        <v>206</v>
      </c>
      <c r="N73" t="s">
        <v>239</v>
      </c>
      <c r="O73" t="s">
        <v>244</v>
      </c>
      <c r="P73" t="s">
        <v>256</v>
      </c>
      <c r="Q73" t="s">
        <v>272</v>
      </c>
      <c r="R73" t="s">
        <v>304</v>
      </c>
      <c r="S73" t="s">
        <v>315</v>
      </c>
      <c r="T73" t="s">
        <v>316</v>
      </c>
      <c r="U73" t="s">
        <v>317</v>
      </c>
      <c r="V73">
        <v>1</v>
      </c>
      <c r="W73">
        <v>1</v>
      </c>
      <c r="X73" t="s">
        <v>337</v>
      </c>
      <c r="Y73" t="s">
        <v>206</v>
      </c>
      <c r="Z73" t="s">
        <v>239</v>
      </c>
      <c r="AA73" t="s">
        <v>272</v>
      </c>
      <c r="AB73" t="s">
        <v>304</v>
      </c>
      <c r="AC73">
        <v>38664</v>
      </c>
      <c r="AD73" t="s">
        <v>395</v>
      </c>
      <c r="AE73">
        <v>1</v>
      </c>
      <c r="AF73">
        <f t="shared" si="1"/>
        <v>1</v>
      </c>
      <c r="AG73">
        <v>202601</v>
      </c>
    </row>
    <row r="74" spans="1:33" x14ac:dyDescent="0.3">
      <c r="A74">
        <v>89851612772</v>
      </c>
      <c r="B74">
        <v>1201</v>
      </c>
      <c r="C74" t="s">
        <v>33</v>
      </c>
      <c r="D74" t="s">
        <v>34</v>
      </c>
      <c r="E74" t="s">
        <v>37</v>
      </c>
      <c r="F74">
        <v>612772</v>
      </c>
      <c r="G74" t="s">
        <v>38</v>
      </c>
      <c r="H74" t="s">
        <v>76</v>
      </c>
      <c r="I74">
        <v>202601</v>
      </c>
      <c r="J74">
        <v>-8490.33</v>
      </c>
      <c r="K74" t="s">
        <v>174</v>
      </c>
      <c r="L74" t="s">
        <v>201</v>
      </c>
      <c r="M74" t="s">
        <v>232</v>
      </c>
      <c r="N74" t="s">
        <v>238</v>
      </c>
      <c r="O74" t="s">
        <v>243</v>
      </c>
      <c r="P74" t="s">
        <v>254</v>
      </c>
      <c r="Q74" t="s">
        <v>297</v>
      </c>
      <c r="R74" t="s">
        <v>314</v>
      </c>
      <c r="S74" t="s">
        <v>315</v>
      </c>
      <c r="T74" t="s">
        <v>316</v>
      </c>
      <c r="U74" t="s">
        <v>332</v>
      </c>
      <c r="V74">
        <v>1</v>
      </c>
      <c r="W74">
        <v>1</v>
      </c>
      <c r="X74" t="s">
        <v>336</v>
      </c>
      <c r="Y74" t="s">
        <v>232</v>
      </c>
      <c r="Z74" t="s">
        <v>238</v>
      </c>
      <c r="AA74" t="s">
        <v>297</v>
      </c>
      <c r="AB74" t="s">
        <v>314</v>
      </c>
      <c r="AC74">
        <v>38666</v>
      </c>
      <c r="AD74" t="s">
        <v>396</v>
      </c>
      <c r="AE74">
        <v>1</v>
      </c>
      <c r="AF74">
        <f t="shared" si="1"/>
        <v>1</v>
      </c>
      <c r="AG74">
        <v>202601</v>
      </c>
    </row>
    <row r="75" spans="1:33" x14ac:dyDescent="0.3">
      <c r="A75">
        <v>89852612774</v>
      </c>
      <c r="B75">
        <v>1203</v>
      </c>
      <c r="C75" t="s">
        <v>33</v>
      </c>
      <c r="D75" t="s">
        <v>34</v>
      </c>
      <c r="E75" t="s">
        <v>37</v>
      </c>
      <c r="F75">
        <v>612774</v>
      </c>
      <c r="G75">
        <v>89407</v>
      </c>
      <c r="H75" t="s">
        <v>94</v>
      </c>
      <c r="I75">
        <v>202601</v>
      </c>
      <c r="J75">
        <v>-420</v>
      </c>
      <c r="K75" t="s">
        <v>175</v>
      </c>
      <c r="L75" t="s">
        <v>201</v>
      </c>
      <c r="M75" t="s">
        <v>205</v>
      </c>
      <c r="N75" t="s">
        <v>240</v>
      </c>
      <c r="O75" t="s">
        <v>245</v>
      </c>
      <c r="P75" t="s">
        <v>245</v>
      </c>
      <c r="Q75" t="s">
        <v>271</v>
      </c>
      <c r="R75" t="s">
        <v>240</v>
      </c>
      <c r="S75" t="s">
        <v>315</v>
      </c>
      <c r="T75" t="s">
        <v>316</v>
      </c>
      <c r="U75" t="s">
        <v>319</v>
      </c>
      <c r="V75">
        <v>1</v>
      </c>
      <c r="W75">
        <v>1</v>
      </c>
      <c r="X75" t="s">
        <v>336</v>
      </c>
      <c r="Y75" t="s">
        <v>205</v>
      </c>
      <c r="Z75" t="s">
        <v>240</v>
      </c>
      <c r="AA75" t="s">
        <v>271</v>
      </c>
      <c r="AB75" t="s">
        <v>240</v>
      </c>
      <c r="AC75">
        <v>38668</v>
      </c>
      <c r="AD75" t="s">
        <v>397</v>
      </c>
      <c r="AE75">
        <v>1</v>
      </c>
      <c r="AF75">
        <f t="shared" si="1"/>
        <v>1</v>
      </c>
      <c r="AG75">
        <v>202601</v>
      </c>
    </row>
    <row r="76" spans="1:33" x14ac:dyDescent="0.3">
      <c r="A76">
        <v>89853612776</v>
      </c>
      <c r="B76">
        <v>1201</v>
      </c>
      <c r="C76" t="s">
        <v>33</v>
      </c>
      <c r="D76" t="s">
        <v>34</v>
      </c>
      <c r="E76" t="s">
        <v>37</v>
      </c>
      <c r="F76">
        <v>612776</v>
      </c>
      <c r="G76">
        <v>119200</v>
      </c>
      <c r="H76" t="s">
        <v>95</v>
      </c>
      <c r="I76">
        <v>202601</v>
      </c>
      <c r="J76">
        <v>-23993.75</v>
      </c>
      <c r="K76" t="s">
        <v>176</v>
      </c>
      <c r="L76" t="s">
        <v>201</v>
      </c>
      <c r="M76" t="s">
        <v>205</v>
      </c>
      <c r="N76" t="s">
        <v>240</v>
      </c>
      <c r="O76" t="s">
        <v>245</v>
      </c>
      <c r="P76" t="s">
        <v>245</v>
      </c>
      <c r="Q76" t="s">
        <v>271</v>
      </c>
      <c r="R76" t="s">
        <v>240</v>
      </c>
      <c r="S76" t="s">
        <v>315</v>
      </c>
      <c r="T76" t="s">
        <v>316</v>
      </c>
      <c r="U76" t="s">
        <v>320</v>
      </c>
      <c r="V76">
        <v>1</v>
      </c>
      <c r="W76">
        <v>1</v>
      </c>
      <c r="X76" t="s">
        <v>337</v>
      </c>
      <c r="Y76" t="s">
        <v>205</v>
      </c>
      <c r="Z76" t="s">
        <v>240</v>
      </c>
      <c r="AA76" t="s">
        <v>271</v>
      </c>
      <c r="AB76" t="s">
        <v>240</v>
      </c>
      <c r="AC76">
        <v>38669</v>
      </c>
      <c r="AD76" t="s">
        <v>398</v>
      </c>
      <c r="AE76">
        <v>1</v>
      </c>
      <c r="AF76">
        <f t="shared" si="1"/>
        <v>1</v>
      </c>
      <c r="AG76">
        <v>202601</v>
      </c>
    </row>
    <row r="77" spans="1:33" x14ac:dyDescent="0.3">
      <c r="A77">
        <v>89854612778</v>
      </c>
      <c r="B77">
        <v>1203</v>
      </c>
      <c r="C77" t="s">
        <v>33</v>
      </c>
      <c r="D77" t="s">
        <v>34</v>
      </c>
      <c r="E77" t="s">
        <v>37</v>
      </c>
      <c r="F77">
        <v>612778</v>
      </c>
      <c r="G77">
        <v>119155</v>
      </c>
      <c r="H77" t="s">
        <v>96</v>
      </c>
      <c r="I77">
        <v>202601</v>
      </c>
      <c r="J77">
        <v>-29498</v>
      </c>
      <c r="K77" t="s">
        <v>177</v>
      </c>
      <c r="L77" t="s">
        <v>201</v>
      </c>
      <c r="M77" t="s">
        <v>206</v>
      </c>
      <c r="N77" t="s">
        <v>239</v>
      </c>
      <c r="O77" t="s">
        <v>244</v>
      </c>
      <c r="P77" t="s">
        <v>256</v>
      </c>
      <c r="Q77" t="s">
        <v>272</v>
      </c>
      <c r="R77" t="s">
        <v>304</v>
      </c>
      <c r="S77" t="s">
        <v>315</v>
      </c>
      <c r="T77" t="s">
        <v>316</v>
      </c>
      <c r="U77" t="s">
        <v>327</v>
      </c>
      <c r="V77">
        <v>1</v>
      </c>
      <c r="W77">
        <v>1</v>
      </c>
      <c r="X77" t="s">
        <v>337</v>
      </c>
      <c r="Y77" t="s">
        <v>206</v>
      </c>
      <c r="Z77" t="s">
        <v>239</v>
      </c>
      <c r="AA77" t="s">
        <v>272</v>
      </c>
      <c r="AB77" t="s">
        <v>304</v>
      </c>
      <c r="AC77">
        <v>38671</v>
      </c>
      <c r="AD77" t="s">
        <v>399</v>
      </c>
      <c r="AE77">
        <v>1</v>
      </c>
      <c r="AF77">
        <f t="shared" si="1"/>
        <v>1</v>
      </c>
      <c r="AG77">
        <v>202601</v>
      </c>
    </row>
    <row r="78" spans="1:33" x14ac:dyDescent="0.3">
      <c r="A78">
        <v>89855612780</v>
      </c>
      <c r="B78">
        <v>1210</v>
      </c>
      <c r="C78" t="s">
        <v>33</v>
      </c>
      <c r="D78" t="s">
        <v>34</v>
      </c>
      <c r="E78" t="s">
        <v>37</v>
      </c>
      <c r="F78">
        <v>612780</v>
      </c>
      <c r="G78">
        <v>117992</v>
      </c>
      <c r="H78" t="s">
        <v>97</v>
      </c>
      <c r="I78">
        <v>202601</v>
      </c>
      <c r="J78">
        <v>-18883.86</v>
      </c>
      <c r="K78" t="s">
        <v>178</v>
      </c>
      <c r="L78" t="s">
        <v>201</v>
      </c>
      <c r="M78" t="s">
        <v>217</v>
      </c>
      <c r="N78" t="s">
        <v>239</v>
      </c>
      <c r="O78" t="s">
        <v>248</v>
      </c>
      <c r="P78" t="s">
        <v>259</v>
      </c>
      <c r="Q78" t="s">
        <v>283</v>
      </c>
      <c r="R78" t="s">
        <v>310</v>
      </c>
      <c r="S78" t="s">
        <v>315</v>
      </c>
      <c r="T78" t="s">
        <v>316</v>
      </c>
      <c r="U78" t="s">
        <v>333</v>
      </c>
      <c r="V78">
        <v>1</v>
      </c>
      <c r="W78">
        <v>1</v>
      </c>
      <c r="X78" t="s">
        <v>337</v>
      </c>
      <c r="Y78" t="s">
        <v>217</v>
      </c>
      <c r="Z78" t="s">
        <v>239</v>
      </c>
      <c r="AA78" t="s">
        <v>283</v>
      </c>
      <c r="AB78" t="s">
        <v>310</v>
      </c>
      <c r="AC78">
        <v>38672</v>
      </c>
      <c r="AD78" t="s">
        <v>400</v>
      </c>
      <c r="AE78">
        <v>1</v>
      </c>
      <c r="AF78">
        <f t="shared" si="1"/>
        <v>1</v>
      </c>
      <c r="AG78">
        <v>202601</v>
      </c>
    </row>
    <row r="79" spans="1:33" x14ac:dyDescent="0.3">
      <c r="A79">
        <v>89856612782</v>
      </c>
      <c r="B79">
        <v>1207</v>
      </c>
      <c r="C79" t="s">
        <v>33</v>
      </c>
      <c r="D79" t="s">
        <v>34</v>
      </c>
      <c r="E79" t="s">
        <v>37</v>
      </c>
      <c r="F79">
        <v>612782</v>
      </c>
      <c r="G79">
        <v>117173</v>
      </c>
      <c r="H79" t="s">
        <v>98</v>
      </c>
      <c r="I79">
        <v>202601</v>
      </c>
      <c r="J79">
        <v>-644.12</v>
      </c>
      <c r="K79" t="s">
        <v>179</v>
      </c>
      <c r="L79" t="s">
        <v>201</v>
      </c>
      <c r="M79" t="s">
        <v>218</v>
      </c>
      <c r="N79" t="s">
        <v>239</v>
      </c>
      <c r="O79" t="s">
        <v>244</v>
      </c>
      <c r="P79" t="s">
        <v>255</v>
      </c>
      <c r="Q79" t="s">
        <v>284</v>
      </c>
      <c r="R79" t="s">
        <v>303</v>
      </c>
      <c r="S79" t="s">
        <v>315</v>
      </c>
      <c r="T79" t="s">
        <v>316</v>
      </c>
      <c r="U79" t="s">
        <v>324</v>
      </c>
      <c r="V79">
        <v>1</v>
      </c>
      <c r="W79">
        <v>1</v>
      </c>
      <c r="X79" t="s">
        <v>337</v>
      </c>
      <c r="Y79" t="s">
        <v>218</v>
      </c>
      <c r="Z79" t="s">
        <v>239</v>
      </c>
      <c r="AA79" t="s">
        <v>284</v>
      </c>
      <c r="AB79" t="s">
        <v>303</v>
      </c>
      <c r="AC79">
        <v>38673</v>
      </c>
      <c r="AD79" t="s">
        <v>401</v>
      </c>
      <c r="AE79">
        <v>1</v>
      </c>
      <c r="AF79">
        <f t="shared" si="1"/>
        <v>1</v>
      </c>
      <c r="AG79">
        <v>202601</v>
      </c>
    </row>
    <row r="80" spans="1:33" x14ac:dyDescent="0.3">
      <c r="A80">
        <v>89857612784</v>
      </c>
      <c r="B80">
        <v>1207</v>
      </c>
      <c r="C80" t="s">
        <v>33</v>
      </c>
      <c r="D80" t="s">
        <v>34</v>
      </c>
      <c r="E80" t="s">
        <v>37</v>
      </c>
      <c r="F80">
        <v>612784</v>
      </c>
      <c r="G80">
        <v>119293</v>
      </c>
      <c r="H80" t="s">
        <v>99</v>
      </c>
      <c r="I80">
        <v>202601</v>
      </c>
      <c r="J80">
        <v>-433.67</v>
      </c>
      <c r="K80" t="s">
        <v>180</v>
      </c>
      <c r="L80" t="s">
        <v>201</v>
      </c>
      <c r="M80" t="s">
        <v>219</v>
      </c>
      <c r="N80" t="s">
        <v>239</v>
      </c>
      <c r="O80" t="s">
        <v>247</v>
      </c>
      <c r="P80" t="s">
        <v>247</v>
      </c>
      <c r="Q80" t="s">
        <v>285</v>
      </c>
      <c r="R80" t="s">
        <v>303</v>
      </c>
      <c r="S80" t="s">
        <v>315</v>
      </c>
      <c r="T80" t="s">
        <v>316</v>
      </c>
      <c r="U80" t="s">
        <v>334</v>
      </c>
      <c r="V80">
        <v>1</v>
      </c>
      <c r="W80">
        <v>1</v>
      </c>
      <c r="X80" t="s">
        <v>337</v>
      </c>
      <c r="Y80" t="s">
        <v>219</v>
      </c>
      <c r="Z80" t="s">
        <v>239</v>
      </c>
      <c r="AA80" t="s">
        <v>285</v>
      </c>
      <c r="AB80" t="s">
        <v>303</v>
      </c>
      <c r="AC80">
        <v>38674</v>
      </c>
      <c r="AD80" t="s">
        <v>402</v>
      </c>
      <c r="AE80">
        <v>1</v>
      </c>
      <c r="AF80">
        <f t="shared" si="1"/>
        <v>1</v>
      </c>
      <c r="AG80">
        <v>202601</v>
      </c>
    </row>
    <row r="81" spans="1:33" x14ac:dyDescent="0.3">
      <c r="A81">
        <v>89858612786</v>
      </c>
      <c r="B81">
        <v>1207</v>
      </c>
      <c r="C81" t="s">
        <v>33</v>
      </c>
      <c r="D81" t="s">
        <v>35</v>
      </c>
      <c r="E81" t="s">
        <v>37</v>
      </c>
      <c r="F81">
        <v>612786</v>
      </c>
      <c r="G81">
        <v>116342</v>
      </c>
      <c r="H81" t="s">
        <v>100</v>
      </c>
      <c r="I81">
        <v>202601</v>
      </c>
      <c r="J81">
        <v>-290</v>
      </c>
      <c r="K81" t="s">
        <v>181</v>
      </c>
      <c r="L81" t="s">
        <v>201</v>
      </c>
      <c r="M81" t="s">
        <v>233</v>
      </c>
      <c r="N81" t="s">
        <v>239</v>
      </c>
      <c r="O81" t="s">
        <v>244</v>
      </c>
      <c r="P81" t="s">
        <v>262</v>
      </c>
      <c r="Q81" t="s">
        <v>298</v>
      </c>
      <c r="R81" t="s">
        <v>311</v>
      </c>
      <c r="S81" t="s">
        <v>315</v>
      </c>
      <c r="T81" t="s">
        <v>316</v>
      </c>
      <c r="U81" t="s">
        <v>319</v>
      </c>
      <c r="V81">
        <v>1</v>
      </c>
      <c r="W81">
        <v>2</v>
      </c>
      <c r="X81" t="s">
        <v>337</v>
      </c>
      <c r="Y81" t="s">
        <v>233</v>
      </c>
      <c r="Z81" t="s">
        <v>239</v>
      </c>
      <c r="AA81" t="s">
        <v>298</v>
      </c>
      <c r="AB81" t="s">
        <v>311</v>
      </c>
      <c r="AC81">
        <v>38676</v>
      </c>
      <c r="AD81" t="s">
        <v>403</v>
      </c>
      <c r="AE81">
        <v>1</v>
      </c>
      <c r="AF81">
        <f t="shared" si="1"/>
        <v>1</v>
      </c>
      <c r="AG81">
        <v>202601</v>
      </c>
    </row>
    <row r="82" spans="1:33" x14ac:dyDescent="0.3">
      <c r="A82">
        <v>89872612816</v>
      </c>
      <c r="B82">
        <v>1201</v>
      </c>
      <c r="C82" t="s">
        <v>33</v>
      </c>
      <c r="D82" t="s">
        <v>34</v>
      </c>
      <c r="E82" t="s">
        <v>37</v>
      </c>
      <c r="F82">
        <v>612816</v>
      </c>
      <c r="G82">
        <v>112824</v>
      </c>
      <c r="H82" t="s">
        <v>101</v>
      </c>
      <c r="I82">
        <v>202601</v>
      </c>
      <c r="J82">
        <v>-3252.54</v>
      </c>
      <c r="K82" t="s">
        <v>182</v>
      </c>
      <c r="L82" t="s">
        <v>201</v>
      </c>
      <c r="M82" t="s">
        <v>234</v>
      </c>
      <c r="N82" t="s">
        <v>239</v>
      </c>
      <c r="O82" t="s">
        <v>243</v>
      </c>
      <c r="P82" t="s">
        <v>254</v>
      </c>
      <c r="Q82" t="s">
        <v>299</v>
      </c>
      <c r="R82" t="s">
        <v>311</v>
      </c>
      <c r="S82" t="s">
        <v>315</v>
      </c>
      <c r="T82" t="s">
        <v>316</v>
      </c>
      <c r="U82" t="s">
        <v>319</v>
      </c>
      <c r="V82">
        <v>1</v>
      </c>
      <c r="W82">
        <v>1</v>
      </c>
      <c r="X82" t="s">
        <v>336</v>
      </c>
      <c r="Y82" t="s">
        <v>234</v>
      </c>
      <c r="Z82" t="s">
        <v>239</v>
      </c>
      <c r="AA82" t="s">
        <v>299</v>
      </c>
      <c r="AB82" t="s">
        <v>311</v>
      </c>
      <c r="AC82">
        <v>38681</v>
      </c>
      <c r="AD82" t="s">
        <v>404</v>
      </c>
      <c r="AE82">
        <v>1</v>
      </c>
      <c r="AF82">
        <f t="shared" si="1"/>
        <v>1</v>
      </c>
      <c r="AG82">
        <v>202601</v>
      </c>
    </row>
    <row r="83" spans="1:33" x14ac:dyDescent="0.3">
      <c r="A83">
        <v>89873612818</v>
      </c>
      <c r="B83">
        <v>1201</v>
      </c>
      <c r="C83" t="s">
        <v>33</v>
      </c>
      <c r="D83" t="s">
        <v>34</v>
      </c>
      <c r="E83" t="s">
        <v>37</v>
      </c>
      <c r="F83">
        <v>612818</v>
      </c>
      <c r="G83">
        <v>112842</v>
      </c>
      <c r="H83" t="s">
        <v>102</v>
      </c>
      <c r="I83">
        <v>202601</v>
      </c>
      <c r="J83">
        <v>-1599.15</v>
      </c>
      <c r="K83" t="s">
        <v>183</v>
      </c>
      <c r="L83" t="s">
        <v>201</v>
      </c>
      <c r="M83" t="s">
        <v>234</v>
      </c>
      <c r="N83" t="s">
        <v>239</v>
      </c>
      <c r="O83" t="s">
        <v>243</v>
      </c>
      <c r="P83" t="s">
        <v>254</v>
      </c>
      <c r="Q83" t="s">
        <v>299</v>
      </c>
      <c r="R83" t="s">
        <v>311</v>
      </c>
      <c r="S83" t="s">
        <v>315</v>
      </c>
      <c r="T83" t="s">
        <v>316</v>
      </c>
      <c r="U83" t="s">
        <v>319</v>
      </c>
      <c r="V83">
        <v>1</v>
      </c>
      <c r="W83">
        <v>1</v>
      </c>
      <c r="X83" t="s">
        <v>336</v>
      </c>
      <c r="Y83" t="s">
        <v>234</v>
      </c>
      <c r="Z83" t="s">
        <v>239</v>
      </c>
      <c r="AA83" t="s">
        <v>299</v>
      </c>
      <c r="AB83" t="s">
        <v>311</v>
      </c>
      <c r="AC83">
        <v>38684</v>
      </c>
      <c r="AD83" t="s">
        <v>405</v>
      </c>
      <c r="AE83">
        <v>1</v>
      </c>
      <c r="AF83">
        <f t="shared" si="1"/>
        <v>1</v>
      </c>
      <c r="AG83">
        <v>202601</v>
      </c>
    </row>
    <row r="84" spans="1:33" x14ac:dyDescent="0.3">
      <c r="A84">
        <v>89874612820</v>
      </c>
      <c r="B84">
        <v>1201</v>
      </c>
      <c r="C84" t="s">
        <v>33</v>
      </c>
      <c r="D84" t="s">
        <v>34</v>
      </c>
      <c r="E84" t="s">
        <v>37</v>
      </c>
      <c r="F84">
        <v>612820</v>
      </c>
      <c r="G84" t="s">
        <v>39</v>
      </c>
      <c r="H84" t="s">
        <v>76</v>
      </c>
      <c r="I84">
        <v>202601</v>
      </c>
      <c r="J84">
        <v>-3381.26</v>
      </c>
      <c r="K84" t="s">
        <v>184</v>
      </c>
      <c r="L84" t="s">
        <v>201</v>
      </c>
      <c r="M84" t="s">
        <v>232</v>
      </c>
      <c r="N84" t="s">
        <v>238</v>
      </c>
      <c r="O84" t="s">
        <v>243</v>
      </c>
      <c r="P84" t="s">
        <v>254</v>
      </c>
      <c r="Q84" t="s">
        <v>297</v>
      </c>
      <c r="R84" t="s">
        <v>314</v>
      </c>
      <c r="S84" t="s">
        <v>315</v>
      </c>
      <c r="T84" t="s">
        <v>316</v>
      </c>
      <c r="U84" t="s">
        <v>332</v>
      </c>
      <c r="V84">
        <v>1</v>
      </c>
      <c r="W84">
        <v>1</v>
      </c>
      <c r="X84" t="s">
        <v>336</v>
      </c>
      <c r="Y84" t="s">
        <v>232</v>
      </c>
      <c r="Z84" t="s">
        <v>238</v>
      </c>
      <c r="AA84" t="s">
        <v>297</v>
      </c>
      <c r="AB84" t="s">
        <v>314</v>
      </c>
      <c r="AC84">
        <v>38686</v>
      </c>
      <c r="AD84" t="s">
        <v>406</v>
      </c>
      <c r="AE84">
        <v>1</v>
      </c>
      <c r="AF84">
        <f t="shared" si="1"/>
        <v>1</v>
      </c>
      <c r="AG84">
        <v>202601</v>
      </c>
    </row>
    <row r="85" spans="1:33" x14ac:dyDescent="0.3">
      <c r="A85">
        <v>89875612822</v>
      </c>
      <c r="B85">
        <v>1201</v>
      </c>
      <c r="C85" t="s">
        <v>33</v>
      </c>
      <c r="D85" t="s">
        <v>34</v>
      </c>
      <c r="E85" t="s">
        <v>37</v>
      </c>
      <c r="F85">
        <v>612822</v>
      </c>
      <c r="G85" t="s">
        <v>40</v>
      </c>
      <c r="H85" t="s">
        <v>76</v>
      </c>
      <c r="I85">
        <v>202601</v>
      </c>
      <c r="J85">
        <v>-20815.75</v>
      </c>
      <c r="K85" t="s">
        <v>185</v>
      </c>
      <c r="L85" t="s">
        <v>201</v>
      </c>
      <c r="M85" t="s">
        <v>232</v>
      </c>
      <c r="N85" t="s">
        <v>238</v>
      </c>
      <c r="O85" t="s">
        <v>243</v>
      </c>
      <c r="P85" t="s">
        <v>254</v>
      </c>
      <c r="Q85" t="s">
        <v>297</v>
      </c>
      <c r="R85" t="s">
        <v>314</v>
      </c>
      <c r="S85" t="s">
        <v>315</v>
      </c>
      <c r="T85" t="s">
        <v>316</v>
      </c>
      <c r="U85" t="s">
        <v>332</v>
      </c>
      <c r="V85">
        <v>1</v>
      </c>
      <c r="W85">
        <v>1</v>
      </c>
      <c r="X85" t="s">
        <v>336</v>
      </c>
      <c r="Y85" t="s">
        <v>232</v>
      </c>
      <c r="Z85" t="s">
        <v>238</v>
      </c>
      <c r="AA85" t="s">
        <v>297</v>
      </c>
      <c r="AB85" t="s">
        <v>314</v>
      </c>
      <c r="AC85">
        <v>38689</v>
      </c>
      <c r="AD85" t="s">
        <v>407</v>
      </c>
      <c r="AE85">
        <v>1</v>
      </c>
      <c r="AF85">
        <f t="shared" si="1"/>
        <v>1</v>
      </c>
      <c r="AG85">
        <v>202601</v>
      </c>
    </row>
    <row r="86" spans="1:33" x14ac:dyDescent="0.3">
      <c r="A86">
        <v>89876612824</v>
      </c>
      <c r="B86">
        <v>1201</v>
      </c>
      <c r="C86" t="s">
        <v>33</v>
      </c>
      <c r="D86" t="s">
        <v>34</v>
      </c>
      <c r="E86" t="s">
        <v>37</v>
      </c>
      <c r="F86">
        <v>612824</v>
      </c>
      <c r="G86">
        <v>96187</v>
      </c>
      <c r="H86" t="s">
        <v>103</v>
      </c>
      <c r="I86">
        <v>202601</v>
      </c>
      <c r="J86">
        <v>-2525.9</v>
      </c>
      <c r="K86" t="s">
        <v>186</v>
      </c>
      <c r="L86" t="s">
        <v>201</v>
      </c>
      <c r="M86" t="s">
        <v>232</v>
      </c>
      <c r="N86" t="s">
        <v>238</v>
      </c>
      <c r="O86" t="s">
        <v>243</v>
      </c>
      <c r="P86" t="s">
        <v>254</v>
      </c>
      <c r="Q86" t="s">
        <v>297</v>
      </c>
      <c r="R86" t="s">
        <v>314</v>
      </c>
      <c r="S86" t="s">
        <v>315</v>
      </c>
      <c r="T86" t="s">
        <v>316</v>
      </c>
      <c r="U86" t="s">
        <v>332</v>
      </c>
      <c r="V86">
        <v>1</v>
      </c>
      <c r="W86">
        <v>1</v>
      </c>
      <c r="X86" t="s">
        <v>336</v>
      </c>
      <c r="Y86" t="s">
        <v>232</v>
      </c>
      <c r="Z86" t="s">
        <v>238</v>
      </c>
      <c r="AA86" t="s">
        <v>297</v>
      </c>
      <c r="AB86" t="s">
        <v>314</v>
      </c>
      <c r="AC86">
        <v>38690</v>
      </c>
      <c r="AD86" t="s">
        <v>408</v>
      </c>
      <c r="AE86">
        <v>1</v>
      </c>
      <c r="AF86">
        <f t="shared" si="1"/>
        <v>1</v>
      </c>
      <c r="AG86">
        <v>202601</v>
      </c>
    </row>
    <row r="87" spans="1:33" x14ac:dyDescent="0.3">
      <c r="A87">
        <v>89877612826</v>
      </c>
      <c r="B87">
        <v>1201</v>
      </c>
      <c r="C87" t="s">
        <v>33</v>
      </c>
      <c r="D87" t="s">
        <v>34</v>
      </c>
      <c r="E87" t="s">
        <v>37</v>
      </c>
      <c r="F87">
        <v>612826</v>
      </c>
      <c r="G87">
        <v>117698</v>
      </c>
      <c r="H87" t="s">
        <v>104</v>
      </c>
      <c r="I87">
        <v>202601</v>
      </c>
      <c r="J87">
        <v>-1363.5</v>
      </c>
      <c r="K87" t="s">
        <v>187</v>
      </c>
      <c r="L87" t="s">
        <v>201</v>
      </c>
      <c r="M87" t="s">
        <v>232</v>
      </c>
      <c r="N87" t="s">
        <v>238</v>
      </c>
      <c r="O87" t="s">
        <v>243</v>
      </c>
      <c r="P87" t="s">
        <v>254</v>
      </c>
      <c r="Q87" t="s">
        <v>297</v>
      </c>
      <c r="R87" t="s">
        <v>314</v>
      </c>
      <c r="S87" t="s">
        <v>315</v>
      </c>
      <c r="T87" t="s">
        <v>316</v>
      </c>
      <c r="U87" t="s">
        <v>332</v>
      </c>
      <c r="V87">
        <v>1</v>
      </c>
      <c r="W87">
        <v>1</v>
      </c>
      <c r="X87" t="s">
        <v>336</v>
      </c>
      <c r="Y87" t="s">
        <v>232</v>
      </c>
      <c r="Z87" t="s">
        <v>238</v>
      </c>
      <c r="AA87" t="s">
        <v>297</v>
      </c>
      <c r="AB87" t="s">
        <v>314</v>
      </c>
      <c r="AC87">
        <v>38691</v>
      </c>
      <c r="AD87" t="s">
        <v>409</v>
      </c>
      <c r="AE87">
        <v>1</v>
      </c>
      <c r="AF87">
        <f t="shared" si="1"/>
        <v>1</v>
      </c>
      <c r="AG87">
        <v>202601</v>
      </c>
    </row>
    <row r="88" spans="1:33" x14ac:dyDescent="0.3">
      <c r="A88">
        <v>89878612828</v>
      </c>
      <c r="B88">
        <v>1201</v>
      </c>
      <c r="C88" t="s">
        <v>33</v>
      </c>
      <c r="D88" t="s">
        <v>34</v>
      </c>
      <c r="E88" t="s">
        <v>37</v>
      </c>
      <c r="F88">
        <v>612828</v>
      </c>
      <c r="G88">
        <v>112999</v>
      </c>
      <c r="H88" t="s">
        <v>105</v>
      </c>
      <c r="I88">
        <v>202601</v>
      </c>
      <c r="J88">
        <v>-356</v>
      </c>
      <c r="K88" t="s">
        <v>188</v>
      </c>
      <c r="L88" t="s">
        <v>201</v>
      </c>
      <c r="M88" t="s">
        <v>205</v>
      </c>
      <c r="N88" t="s">
        <v>240</v>
      </c>
      <c r="O88" t="s">
        <v>245</v>
      </c>
      <c r="P88" t="s">
        <v>245</v>
      </c>
      <c r="Q88" t="s">
        <v>271</v>
      </c>
      <c r="R88" t="s">
        <v>240</v>
      </c>
      <c r="S88" t="s">
        <v>315</v>
      </c>
      <c r="T88" t="s">
        <v>316</v>
      </c>
      <c r="U88" t="s">
        <v>319</v>
      </c>
      <c r="V88">
        <v>1</v>
      </c>
      <c r="W88">
        <v>1</v>
      </c>
      <c r="X88" t="s">
        <v>336</v>
      </c>
      <c r="Y88" t="s">
        <v>205</v>
      </c>
      <c r="Z88" t="s">
        <v>240</v>
      </c>
      <c r="AA88" t="s">
        <v>271</v>
      </c>
      <c r="AB88" t="s">
        <v>240</v>
      </c>
      <c r="AC88">
        <v>38692</v>
      </c>
      <c r="AD88" t="s">
        <v>410</v>
      </c>
      <c r="AE88">
        <v>1</v>
      </c>
      <c r="AF88">
        <f t="shared" si="1"/>
        <v>1</v>
      </c>
      <c r="AG88">
        <v>202601</v>
      </c>
    </row>
    <row r="89" spans="1:33" x14ac:dyDescent="0.3">
      <c r="A89">
        <v>89880612832</v>
      </c>
      <c r="B89">
        <v>1201</v>
      </c>
      <c r="C89" t="s">
        <v>33</v>
      </c>
      <c r="D89" t="s">
        <v>34</v>
      </c>
      <c r="E89" t="s">
        <v>37</v>
      </c>
      <c r="F89">
        <v>612832</v>
      </c>
      <c r="G89" t="s">
        <v>41</v>
      </c>
      <c r="H89" t="s">
        <v>106</v>
      </c>
      <c r="I89">
        <v>202601</v>
      </c>
      <c r="J89">
        <v>-7950</v>
      </c>
      <c r="K89" t="s">
        <v>189</v>
      </c>
      <c r="L89" t="s">
        <v>201</v>
      </c>
      <c r="M89" t="s">
        <v>235</v>
      </c>
      <c r="N89" t="s">
        <v>238</v>
      </c>
      <c r="O89" t="s">
        <v>243</v>
      </c>
      <c r="P89" t="s">
        <v>254</v>
      </c>
      <c r="Q89" t="s">
        <v>300</v>
      </c>
      <c r="R89" t="s">
        <v>306</v>
      </c>
      <c r="S89" t="s">
        <v>315</v>
      </c>
      <c r="T89" t="s">
        <v>316</v>
      </c>
      <c r="U89" t="s">
        <v>320</v>
      </c>
      <c r="V89">
        <v>1</v>
      </c>
      <c r="W89">
        <v>1</v>
      </c>
      <c r="X89" t="s">
        <v>336</v>
      </c>
      <c r="Y89" t="s">
        <v>235</v>
      </c>
      <c r="Z89" t="s">
        <v>238</v>
      </c>
      <c r="AA89" t="s">
        <v>300</v>
      </c>
      <c r="AB89" t="s">
        <v>306</v>
      </c>
      <c r="AC89">
        <v>38693</v>
      </c>
      <c r="AD89" t="s">
        <v>411</v>
      </c>
      <c r="AE89">
        <v>1</v>
      </c>
      <c r="AF89">
        <f t="shared" si="1"/>
        <v>1</v>
      </c>
      <c r="AG89">
        <v>202601</v>
      </c>
    </row>
    <row r="90" spans="1:33" x14ac:dyDescent="0.3">
      <c r="A90">
        <v>89884612844</v>
      </c>
      <c r="B90">
        <v>1203</v>
      </c>
      <c r="C90" t="s">
        <v>33</v>
      </c>
      <c r="D90" t="s">
        <v>34</v>
      </c>
      <c r="E90" t="s">
        <v>37</v>
      </c>
      <c r="F90">
        <v>612844</v>
      </c>
      <c r="G90">
        <v>118298</v>
      </c>
      <c r="H90" t="s">
        <v>107</v>
      </c>
      <c r="I90">
        <v>202601</v>
      </c>
      <c r="J90">
        <v>-6166.54</v>
      </c>
      <c r="K90" t="s">
        <v>190</v>
      </c>
      <c r="L90" t="s">
        <v>201</v>
      </c>
      <c r="M90" t="s">
        <v>206</v>
      </c>
      <c r="N90" t="s">
        <v>239</v>
      </c>
      <c r="O90" t="s">
        <v>244</v>
      </c>
      <c r="P90" t="s">
        <v>256</v>
      </c>
      <c r="Q90" t="s">
        <v>272</v>
      </c>
      <c r="R90" t="s">
        <v>304</v>
      </c>
      <c r="S90" t="s">
        <v>315</v>
      </c>
      <c r="T90" t="s">
        <v>316</v>
      </c>
      <c r="U90" t="s">
        <v>321</v>
      </c>
      <c r="V90">
        <v>1</v>
      </c>
      <c r="W90">
        <v>1</v>
      </c>
      <c r="X90" t="s">
        <v>337</v>
      </c>
      <c r="Y90" t="s">
        <v>206</v>
      </c>
      <c r="Z90" t="s">
        <v>239</v>
      </c>
      <c r="AA90" t="s">
        <v>272</v>
      </c>
      <c r="AB90" t="s">
        <v>304</v>
      </c>
      <c r="AC90">
        <v>38695</v>
      </c>
      <c r="AD90" t="s">
        <v>412</v>
      </c>
      <c r="AE90">
        <v>1</v>
      </c>
      <c r="AF90">
        <f t="shared" si="1"/>
        <v>2</v>
      </c>
      <c r="AG90">
        <v>202601</v>
      </c>
    </row>
    <row r="91" spans="1:33" x14ac:dyDescent="0.3">
      <c r="A91">
        <v>89884612846</v>
      </c>
      <c r="B91">
        <v>1203</v>
      </c>
      <c r="C91" t="s">
        <v>33</v>
      </c>
      <c r="D91" t="s">
        <v>34</v>
      </c>
      <c r="E91" t="s">
        <v>37</v>
      </c>
      <c r="F91">
        <v>612846</v>
      </c>
      <c r="H91" t="s">
        <v>107</v>
      </c>
      <c r="I91">
        <v>202601</v>
      </c>
      <c r="J91">
        <v>195.26</v>
      </c>
      <c r="K91" t="s">
        <v>190</v>
      </c>
      <c r="L91" t="s">
        <v>201</v>
      </c>
      <c r="M91" t="s">
        <v>229</v>
      </c>
      <c r="N91" t="s">
        <v>241</v>
      </c>
      <c r="O91" t="s">
        <v>251</v>
      </c>
      <c r="P91" t="s">
        <v>266</v>
      </c>
      <c r="Q91" t="s">
        <v>295</v>
      </c>
      <c r="R91" t="s">
        <v>251</v>
      </c>
      <c r="S91" t="s">
        <v>315</v>
      </c>
      <c r="T91" t="s">
        <v>316</v>
      </c>
      <c r="U91" t="s">
        <v>321</v>
      </c>
      <c r="V91">
        <v>1</v>
      </c>
      <c r="W91">
        <v>1</v>
      </c>
      <c r="X91" t="s">
        <v>337</v>
      </c>
      <c r="Y91" t="s">
        <v>229</v>
      </c>
      <c r="Z91" t="s">
        <v>241</v>
      </c>
      <c r="AA91" t="s">
        <v>295</v>
      </c>
      <c r="AB91" t="s">
        <v>251</v>
      </c>
      <c r="AC91">
        <v>38695</v>
      </c>
      <c r="AD91" t="s">
        <v>412</v>
      </c>
      <c r="AE91">
        <v>2</v>
      </c>
      <c r="AF91">
        <f t="shared" si="1"/>
        <v>2</v>
      </c>
      <c r="AG91">
        <v>202601</v>
      </c>
    </row>
    <row r="92" spans="1:33" x14ac:dyDescent="0.3">
      <c r="A92">
        <v>90087613271</v>
      </c>
      <c r="B92">
        <v>1207</v>
      </c>
      <c r="C92" t="s">
        <v>33</v>
      </c>
      <c r="D92" t="s">
        <v>34</v>
      </c>
      <c r="E92" t="s">
        <v>37</v>
      </c>
      <c r="F92">
        <v>613271</v>
      </c>
      <c r="G92">
        <v>113724</v>
      </c>
      <c r="H92" t="s">
        <v>108</v>
      </c>
      <c r="I92">
        <v>202601</v>
      </c>
      <c r="J92">
        <v>-113.89</v>
      </c>
      <c r="K92" t="s">
        <v>191</v>
      </c>
      <c r="L92" t="s">
        <v>201</v>
      </c>
      <c r="M92" t="s">
        <v>235</v>
      </c>
      <c r="N92" t="s">
        <v>238</v>
      </c>
      <c r="O92" t="s">
        <v>243</v>
      </c>
      <c r="P92" t="s">
        <v>254</v>
      </c>
      <c r="Q92" t="s">
        <v>300</v>
      </c>
      <c r="R92" t="s">
        <v>306</v>
      </c>
      <c r="S92" t="s">
        <v>315</v>
      </c>
      <c r="T92" t="s">
        <v>316</v>
      </c>
      <c r="U92" t="s">
        <v>323</v>
      </c>
      <c r="V92">
        <v>1</v>
      </c>
      <c r="W92">
        <v>1</v>
      </c>
      <c r="X92" t="s">
        <v>337</v>
      </c>
      <c r="Y92" t="s">
        <v>235</v>
      </c>
      <c r="Z92" t="s">
        <v>238</v>
      </c>
      <c r="AA92" t="s">
        <v>300</v>
      </c>
      <c r="AB92" t="s">
        <v>306</v>
      </c>
      <c r="AC92">
        <v>38701</v>
      </c>
      <c r="AD92" t="s">
        <v>413</v>
      </c>
      <c r="AE92">
        <v>1</v>
      </c>
      <c r="AF92">
        <f t="shared" si="1"/>
        <v>1</v>
      </c>
      <c r="AG92">
        <v>202601</v>
      </c>
    </row>
    <row r="93" spans="1:33" x14ac:dyDescent="0.3">
      <c r="A93">
        <v>90088613273</v>
      </c>
      <c r="B93">
        <v>1201</v>
      </c>
      <c r="C93" t="s">
        <v>33</v>
      </c>
      <c r="D93" t="s">
        <v>34</v>
      </c>
      <c r="E93" t="s">
        <v>37</v>
      </c>
      <c r="F93">
        <v>613273</v>
      </c>
      <c r="G93">
        <v>111197</v>
      </c>
      <c r="H93" t="s">
        <v>109</v>
      </c>
      <c r="I93">
        <v>202601</v>
      </c>
      <c r="J93">
        <v>-474.02</v>
      </c>
      <c r="K93" t="s">
        <v>192</v>
      </c>
      <c r="L93" t="s">
        <v>201</v>
      </c>
      <c r="M93" t="s">
        <v>236</v>
      </c>
      <c r="N93" t="s">
        <v>239</v>
      </c>
      <c r="O93" t="s">
        <v>244</v>
      </c>
      <c r="P93" t="s">
        <v>262</v>
      </c>
      <c r="Q93" t="s">
        <v>301</v>
      </c>
      <c r="R93" t="s">
        <v>311</v>
      </c>
      <c r="S93" t="s">
        <v>315</v>
      </c>
      <c r="T93" t="s">
        <v>316</v>
      </c>
      <c r="U93" t="s">
        <v>319</v>
      </c>
      <c r="V93">
        <v>1</v>
      </c>
      <c r="W93">
        <v>1</v>
      </c>
      <c r="X93" t="s">
        <v>336</v>
      </c>
      <c r="Y93" t="s">
        <v>236</v>
      </c>
      <c r="Z93" t="s">
        <v>239</v>
      </c>
      <c r="AA93" t="s">
        <v>301</v>
      </c>
      <c r="AB93" t="s">
        <v>311</v>
      </c>
      <c r="AC93">
        <v>38704</v>
      </c>
      <c r="AD93" t="s">
        <v>414</v>
      </c>
      <c r="AE93">
        <v>1</v>
      </c>
      <c r="AF93">
        <f t="shared" si="1"/>
        <v>1</v>
      </c>
      <c r="AG93">
        <v>202601</v>
      </c>
    </row>
    <row r="94" spans="1:33" x14ac:dyDescent="0.3">
      <c r="A94">
        <v>90089613275</v>
      </c>
      <c r="B94">
        <v>1201</v>
      </c>
      <c r="C94" t="s">
        <v>33</v>
      </c>
      <c r="D94" t="s">
        <v>34</v>
      </c>
      <c r="E94" t="s">
        <v>37</v>
      </c>
      <c r="F94">
        <v>613275</v>
      </c>
      <c r="G94">
        <v>112860</v>
      </c>
      <c r="H94" t="s">
        <v>105</v>
      </c>
      <c r="I94">
        <v>202601</v>
      </c>
      <c r="J94">
        <v>-209.93</v>
      </c>
      <c r="K94" t="s">
        <v>193</v>
      </c>
      <c r="L94" t="s">
        <v>201</v>
      </c>
      <c r="M94" t="s">
        <v>237</v>
      </c>
      <c r="N94" t="s">
        <v>239</v>
      </c>
      <c r="O94" t="s">
        <v>243</v>
      </c>
      <c r="P94" t="s">
        <v>254</v>
      </c>
      <c r="Q94" t="s">
        <v>302</v>
      </c>
      <c r="R94" t="s">
        <v>311</v>
      </c>
      <c r="S94" t="s">
        <v>315</v>
      </c>
      <c r="T94" t="s">
        <v>316</v>
      </c>
      <c r="U94" t="s">
        <v>319</v>
      </c>
      <c r="V94">
        <v>1</v>
      </c>
      <c r="W94">
        <v>1</v>
      </c>
      <c r="X94" t="s">
        <v>336</v>
      </c>
      <c r="Y94" t="s">
        <v>237</v>
      </c>
      <c r="Z94" t="s">
        <v>239</v>
      </c>
      <c r="AA94" t="s">
        <v>302</v>
      </c>
      <c r="AB94" t="s">
        <v>311</v>
      </c>
      <c r="AC94">
        <v>38705</v>
      </c>
      <c r="AD94" t="s">
        <v>415</v>
      </c>
      <c r="AE94">
        <v>1</v>
      </c>
      <c r="AF94">
        <f t="shared" si="1"/>
        <v>1</v>
      </c>
      <c r="AG94">
        <v>202601</v>
      </c>
    </row>
    <row r="95" spans="1:33" x14ac:dyDescent="0.3">
      <c r="A95">
        <v>90090613277</v>
      </c>
      <c r="B95">
        <v>1201</v>
      </c>
      <c r="C95" t="s">
        <v>33</v>
      </c>
      <c r="D95" t="s">
        <v>34</v>
      </c>
      <c r="E95" t="s">
        <v>37</v>
      </c>
      <c r="F95">
        <v>613277</v>
      </c>
      <c r="G95">
        <v>112824</v>
      </c>
      <c r="H95" t="s">
        <v>110</v>
      </c>
      <c r="I95">
        <v>202601</v>
      </c>
      <c r="J95">
        <v>-849</v>
      </c>
      <c r="K95" t="s">
        <v>194</v>
      </c>
      <c r="L95" t="s">
        <v>201</v>
      </c>
      <c r="M95" t="s">
        <v>237</v>
      </c>
      <c r="N95" t="s">
        <v>239</v>
      </c>
      <c r="O95" t="s">
        <v>243</v>
      </c>
      <c r="P95" t="s">
        <v>254</v>
      </c>
      <c r="Q95" t="s">
        <v>302</v>
      </c>
      <c r="R95" t="s">
        <v>311</v>
      </c>
      <c r="S95" t="s">
        <v>315</v>
      </c>
      <c r="T95" t="s">
        <v>316</v>
      </c>
      <c r="U95" t="s">
        <v>319</v>
      </c>
      <c r="V95">
        <v>1</v>
      </c>
      <c r="W95">
        <v>1</v>
      </c>
      <c r="X95" t="s">
        <v>336</v>
      </c>
      <c r="Y95" t="s">
        <v>237</v>
      </c>
      <c r="Z95" t="s">
        <v>239</v>
      </c>
      <c r="AA95" t="s">
        <v>302</v>
      </c>
      <c r="AB95" t="s">
        <v>311</v>
      </c>
      <c r="AC95">
        <v>38706</v>
      </c>
      <c r="AD95" t="s">
        <v>416</v>
      </c>
      <c r="AE95">
        <v>1</v>
      </c>
      <c r="AF95">
        <f t="shared" si="1"/>
        <v>1</v>
      </c>
      <c r="AG95">
        <v>202601</v>
      </c>
    </row>
    <row r="96" spans="1:33" x14ac:dyDescent="0.3">
      <c r="A96">
        <v>90097613297</v>
      </c>
      <c r="B96">
        <v>1203</v>
      </c>
      <c r="C96" t="s">
        <v>33</v>
      </c>
      <c r="D96" t="s">
        <v>34</v>
      </c>
      <c r="E96" t="s">
        <v>37</v>
      </c>
      <c r="F96">
        <v>613297</v>
      </c>
      <c r="G96">
        <v>119087</v>
      </c>
      <c r="H96" t="s">
        <v>111</v>
      </c>
      <c r="I96">
        <v>202601</v>
      </c>
      <c r="J96">
        <v>-17792.62</v>
      </c>
      <c r="K96" t="s">
        <v>195</v>
      </c>
      <c r="L96" t="s">
        <v>201</v>
      </c>
      <c r="M96" t="s">
        <v>206</v>
      </c>
      <c r="N96" t="s">
        <v>239</v>
      </c>
      <c r="O96" t="s">
        <v>244</v>
      </c>
      <c r="P96" t="s">
        <v>256</v>
      </c>
      <c r="Q96" t="s">
        <v>272</v>
      </c>
      <c r="R96" t="s">
        <v>304</v>
      </c>
      <c r="S96" t="s">
        <v>315</v>
      </c>
      <c r="T96" t="s">
        <v>316</v>
      </c>
      <c r="U96" t="s">
        <v>327</v>
      </c>
      <c r="V96">
        <v>1</v>
      </c>
      <c r="W96">
        <v>1</v>
      </c>
      <c r="X96" t="s">
        <v>337</v>
      </c>
      <c r="Y96" t="s">
        <v>206</v>
      </c>
      <c r="Z96" t="s">
        <v>239</v>
      </c>
      <c r="AA96" t="s">
        <v>272</v>
      </c>
      <c r="AB96" t="s">
        <v>304</v>
      </c>
      <c r="AC96">
        <v>38719</v>
      </c>
      <c r="AD96" t="s">
        <v>417</v>
      </c>
      <c r="AE96">
        <v>1</v>
      </c>
      <c r="AF96">
        <f t="shared" si="1"/>
        <v>1</v>
      </c>
      <c r="AG96">
        <v>202601</v>
      </c>
    </row>
    <row r="97" spans="1:33" x14ac:dyDescent="0.3">
      <c r="A97">
        <v>90152613411</v>
      </c>
      <c r="B97">
        <v>1203</v>
      </c>
      <c r="C97" t="s">
        <v>33</v>
      </c>
      <c r="D97" t="s">
        <v>34</v>
      </c>
      <c r="E97" t="s">
        <v>37</v>
      </c>
      <c r="F97">
        <v>613411</v>
      </c>
      <c r="G97">
        <v>120669</v>
      </c>
      <c r="H97" t="s">
        <v>112</v>
      </c>
      <c r="I97">
        <v>202601</v>
      </c>
      <c r="J97">
        <v>-10000</v>
      </c>
      <c r="K97" t="s">
        <v>196</v>
      </c>
      <c r="L97" t="s">
        <v>201</v>
      </c>
      <c r="M97" t="s">
        <v>206</v>
      </c>
      <c r="N97" t="s">
        <v>239</v>
      </c>
      <c r="O97" t="s">
        <v>244</v>
      </c>
      <c r="P97" t="s">
        <v>256</v>
      </c>
      <c r="Q97" t="s">
        <v>272</v>
      </c>
      <c r="R97" t="s">
        <v>304</v>
      </c>
      <c r="S97" t="s">
        <v>315</v>
      </c>
      <c r="T97" t="s">
        <v>316</v>
      </c>
      <c r="U97" t="s">
        <v>331</v>
      </c>
      <c r="V97">
        <v>1</v>
      </c>
      <c r="W97">
        <v>1</v>
      </c>
      <c r="X97" t="s">
        <v>337</v>
      </c>
      <c r="Y97" t="s">
        <v>206</v>
      </c>
      <c r="Z97" t="s">
        <v>239</v>
      </c>
      <c r="AA97" t="s">
        <v>272</v>
      </c>
      <c r="AB97" t="s">
        <v>304</v>
      </c>
      <c r="AC97">
        <v>38720</v>
      </c>
      <c r="AD97" t="s">
        <v>418</v>
      </c>
      <c r="AE97">
        <v>1</v>
      </c>
      <c r="AF97">
        <f t="shared" si="1"/>
        <v>1</v>
      </c>
      <c r="AG97">
        <v>202601</v>
      </c>
    </row>
    <row r="98" spans="1:33" x14ac:dyDescent="0.3">
      <c r="A98">
        <v>90174613455</v>
      </c>
      <c r="B98">
        <v>1203</v>
      </c>
      <c r="C98" t="s">
        <v>33</v>
      </c>
      <c r="D98" t="s">
        <v>34</v>
      </c>
      <c r="E98" t="s">
        <v>37</v>
      </c>
      <c r="F98">
        <v>613455</v>
      </c>
      <c r="G98">
        <v>120087</v>
      </c>
      <c r="H98" t="s">
        <v>113</v>
      </c>
      <c r="I98">
        <v>202601</v>
      </c>
      <c r="J98">
        <v>-10901</v>
      </c>
      <c r="K98" t="s">
        <v>197</v>
      </c>
      <c r="L98" t="s">
        <v>201</v>
      </c>
      <c r="M98" t="s">
        <v>206</v>
      </c>
      <c r="N98" t="s">
        <v>239</v>
      </c>
      <c r="O98" t="s">
        <v>244</v>
      </c>
      <c r="P98" t="s">
        <v>256</v>
      </c>
      <c r="Q98" t="s">
        <v>272</v>
      </c>
      <c r="R98" t="s">
        <v>304</v>
      </c>
      <c r="S98" t="s">
        <v>315</v>
      </c>
      <c r="T98" t="s">
        <v>316</v>
      </c>
      <c r="U98" t="s">
        <v>321</v>
      </c>
      <c r="V98">
        <v>1</v>
      </c>
      <c r="W98">
        <v>1</v>
      </c>
      <c r="X98" t="s">
        <v>337</v>
      </c>
      <c r="Y98" t="s">
        <v>206</v>
      </c>
      <c r="Z98" t="s">
        <v>239</v>
      </c>
      <c r="AA98" t="s">
        <v>272</v>
      </c>
      <c r="AB98" t="s">
        <v>304</v>
      </c>
      <c r="AC98">
        <v>38722</v>
      </c>
      <c r="AD98" t="s">
        <v>419</v>
      </c>
      <c r="AE98">
        <v>1</v>
      </c>
      <c r="AF98">
        <f t="shared" si="1"/>
        <v>1</v>
      </c>
      <c r="AG98">
        <v>202601</v>
      </c>
    </row>
    <row r="99" spans="1:33" x14ac:dyDescent="0.3">
      <c r="A99">
        <v>90175613457</v>
      </c>
      <c r="B99">
        <v>1203</v>
      </c>
      <c r="C99" t="s">
        <v>33</v>
      </c>
      <c r="D99" t="s">
        <v>34</v>
      </c>
      <c r="E99" t="s">
        <v>37</v>
      </c>
      <c r="F99">
        <v>613457</v>
      </c>
      <c r="G99">
        <v>119589</v>
      </c>
      <c r="H99" t="s">
        <v>114</v>
      </c>
      <c r="I99">
        <v>202601</v>
      </c>
      <c r="J99">
        <v>-1362.77</v>
      </c>
      <c r="K99" t="s">
        <v>198</v>
      </c>
      <c r="L99" t="s">
        <v>201</v>
      </c>
      <c r="M99" t="s">
        <v>206</v>
      </c>
      <c r="N99" t="s">
        <v>239</v>
      </c>
      <c r="O99" t="s">
        <v>244</v>
      </c>
      <c r="P99" t="s">
        <v>256</v>
      </c>
      <c r="Q99" t="s">
        <v>272</v>
      </c>
      <c r="R99" t="s">
        <v>304</v>
      </c>
      <c r="S99" t="s">
        <v>315</v>
      </c>
      <c r="T99" t="s">
        <v>316</v>
      </c>
      <c r="U99" t="s">
        <v>326</v>
      </c>
      <c r="V99">
        <v>1</v>
      </c>
      <c r="W99">
        <v>1</v>
      </c>
      <c r="X99" t="s">
        <v>337</v>
      </c>
      <c r="Y99" t="s">
        <v>206</v>
      </c>
      <c r="Z99" t="s">
        <v>239</v>
      </c>
      <c r="AA99" t="s">
        <v>272</v>
      </c>
      <c r="AB99" t="s">
        <v>304</v>
      </c>
      <c r="AC99">
        <v>38723</v>
      </c>
      <c r="AD99" t="s">
        <v>420</v>
      </c>
      <c r="AE99">
        <v>1</v>
      </c>
      <c r="AF99">
        <f t="shared" si="1"/>
        <v>1</v>
      </c>
      <c r="AG99">
        <v>202601</v>
      </c>
    </row>
    <row r="100" spans="1:33" x14ac:dyDescent="0.3">
      <c r="A100">
        <v>90176613459</v>
      </c>
      <c r="B100">
        <v>1203</v>
      </c>
      <c r="C100" t="s">
        <v>33</v>
      </c>
      <c r="D100" t="s">
        <v>34</v>
      </c>
      <c r="E100" t="s">
        <v>37</v>
      </c>
      <c r="F100">
        <v>613459</v>
      </c>
      <c r="G100">
        <v>119403</v>
      </c>
      <c r="H100" t="s">
        <v>115</v>
      </c>
      <c r="I100">
        <v>202601</v>
      </c>
      <c r="J100">
        <v>-11716.98</v>
      </c>
      <c r="K100" t="s">
        <v>199</v>
      </c>
      <c r="L100" t="s">
        <v>201</v>
      </c>
      <c r="M100" t="s">
        <v>206</v>
      </c>
      <c r="N100" t="s">
        <v>239</v>
      </c>
      <c r="O100" t="s">
        <v>244</v>
      </c>
      <c r="P100" t="s">
        <v>256</v>
      </c>
      <c r="Q100" t="s">
        <v>272</v>
      </c>
      <c r="R100" t="s">
        <v>304</v>
      </c>
      <c r="S100" t="s">
        <v>315</v>
      </c>
      <c r="T100" t="s">
        <v>316</v>
      </c>
      <c r="U100" t="s">
        <v>327</v>
      </c>
      <c r="V100">
        <v>1</v>
      </c>
      <c r="W100">
        <v>1</v>
      </c>
      <c r="X100" t="s">
        <v>337</v>
      </c>
      <c r="Y100" t="s">
        <v>206</v>
      </c>
      <c r="Z100" t="s">
        <v>239</v>
      </c>
      <c r="AA100" t="s">
        <v>272</v>
      </c>
      <c r="AB100" t="s">
        <v>304</v>
      </c>
      <c r="AC100">
        <v>38724</v>
      </c>
      <c r="AD100" t="s">
        <v>421</v>
      </c>
      <c r="AE100">
        <v>1</v>
      </c>
      <c r="AF100">
        <f t="shared" si="1"/>
        <v>1</v>
      </c>
      <c r="AG100">
        <v>202601</v>
      </c>
    </row>
    <row r="101" spans="1:33" x14ac:dyDescent="0.3">
      <c r="A101">
        <v>90207613521</v>
      </c>
      <c r="B101">
        <v>1203</v>
      </c>
      <c r="C101" t="s">
        <v>33</v>
      </c>
      <c r="D101" t="s">
        <v>34</v>
      </c>
      <c r="E101" t="s">
        <v>37</v>
      </c>
      <c r="F101">
        <v>613521</v>
      </c>
      <c r="G101">
        <v>119259</v>
      </c>
      <c r="H101" t="s">
        <v>46</v>
      </c>
      <c r="I101">
        <v>202601</v>
      </c>
      <c r="J101">
        <v>-47346.68</v>
      </c>
      <c r="K101" t="s">
        <v>200</v>
      </c>
      <c r="L101" t="s">
        <v>201</v>
      </c>
      <c r="M101" t="s">
        <v>206</v>
      </c>
      <c r="N101" t="s">
        <v>239</v>
      </c>
      <c r="O101" t="s">
        <v>244</v>
      </c>
      <c r="P101" t="s">
        <v>256</v>
      </c>
      <c r="Q101" t="s">
        <v>272</v>
      </c>
      <c r="R101" t="s">
        <v>304</v>
      </c>
      <c r="S101" t="s">
        <v>315</v>
      </c>
      <c r="T101" t="s">
        <v>316</v>
      </c>
      <c r="U101" t="s">
        <v>321</v>
      </c>
      <c r="V101">
        <v>1</v>
      </c>
      <c r="W101">
        <v>1</v>
      </c>
      <c r="X101" t="s">
        <v>337</v>
      </c>
      <c r="Y101" t="s">
        <v>206</v>
      </c>
      <c r="Z101" t="s">
        <v>239</v>
      </c>
      <c r="AA101" t="s">
        <v>272</v>
      </c>
      <c r="AB101" t="s">
        <v>304</v>
      </c>
      <c r="AC101">
        <v>38726</v>
      </c>
      <c r="AD101" t="s">
        <v>422</v>
      </c>
      <c r="AE101">
        <v>1</v>
      </c>
      <c r="AF101">
        <f t="shared" si="1"/>
        <v>1</v>
      </c>
      <c r="AG101">
        <v>202601</v>
      </c>
    </row>
    <row r="105" spans="1:33" x14ac:dyDescent="0.3">
      <c r="AF105" t="s">
        <v>423</v>
      </c>
    </row>
  </sheetData>
  <autoFilter ref="A1:AG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Edmilson Sardeiro Serafim</cp:lastModifiedBy>
  <dcterms:created xsi:type="dcterms:W3CDTF">2026-02-03T14:30:18Z</dcterms:created>
  <dcterms:modified xsi:type="dcterms:W3CDTF">2026-02-03T14:38:37Z</dcterms:modified>
</cp:coreProperties>
</file>