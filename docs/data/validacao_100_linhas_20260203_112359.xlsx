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egioqi583-my.sharepoint.com/personal/edmilson_serafim_raizeducacao_info/Documents/Área de Trabalho/Ap proposta/"/>
    </mc:Choice>
  </mc:AlternateContent>
  <xr:revisionPtr revIDLastSave="18" documentId="11_9EB9A3CECB2CD9276F2C4C10B5E93393787AF074" xr6:coauthVersionLast="47" xr6:coauthVersionMax="47" xr10:uidLastSave="{D67C671D-472F-4527-983F-D9A020AEA08B}"/>
  <bookViews>
    <workbookView xWindow="-28920" yWindow="-1725" windowWidth="29040" windowHeight="15720" xr2:uid="{00000000-000D-0000-FFFF-FFFF00000000}"/>
  </bookViews>
  <sheets>
    <sheet name="Validação" sheetId="1" r:id="rId1"/>
  </sheets>
  <definedNames>
    <definedName name="_xlnm._FilterDatabase" localSheetId="0" hidden="1">Validação!$A$1:$AF$101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2" i="1"/>
</calcChain>
</file>

<file path=xl/sharedStrings.xml><?xml version="1.0" encoding="utf-8"?>
<sst xmlns="http://schemas.openxmlformats.org/spreadsheetml/2006/main" count="2136" uniqueCount="422">
  <si>
    <t>chave</t>
  </si>
  <si>
    <t>codlote</t>
  </si>
  <si>
    <t>cia</t>
  </si>
  <si>
    <t>filial</t>
  </si>
  <si>
    <t>integraaplicacao</t>
  </si>
  <si>
    <t>idpartida</t>
  </si>
  <si>
    <t>ticket</t>
  </si>
  <si>
    <t>fornecedor_padrao</t>
  </si>
  <si>
    <t>anomes</t>
  </si>
  <si>
    <t>valor</t>
  </si>
  <si>
    <t>complemento</t>
  </si>
  <si>
    <t>recorrente</t>
  </si>
  <si>
    <t>conta</t>
  </si>
  <si>
    <t>tag1</t>
  </si>
  <si>
    <t>tag2</t>
  </si>
  <si>
    <t>tag3</t>
  </si>
  <si>
    <t>tag4</t>
  </si>
  <si>
    <t>tag_orc</t>
  </si>
  <si>
    <t>original</t>
  </si>
  <si>
    <t>r_o</t>
  </si>
  <si>
    <t>cc</t>
  </si>
  <si>
    <t>codcoligada</t>
  </si>
  <si>
    <t>codfilial</t>
  </si>
  <si>
    <t>usuario</t>
  </si>
  <si>
    <t>conta_original</t>
  </si>
  <si>
    <t>tag1_original</t>
  </si>
  <si>
    <t>tag4_original</t>
  </si>
  <si>
    <t>tagorc_original</t>
  </si>
  <si>
    <t>integrachave_tratada</t>
  </si>
  <si>
    <t>coligada_chave</t>
  </si>
  <si>
    <t>status_lanc_financeiro</t>
  </si>
  <si>
    <t>anomes_original</t>
  </si>
  <si>
    <t>RZ</t>
  </si>
  <si>
    <t>RJ</t>
  </si>
  <si>
    <t>JF</t>
  </si>
  <si>
    <t>C</t>
  </si>
  <si>
    <t>T</t>
  </si>
  <si>
    <t>100082 oc 38123</t>
  </si>
  <si>
    <t>100082 oc 38401</t>
  </si>
  <si>
    <t>100082 oc 38458</t>
  </si>
  <si>
    <t>Extra carrinhos</t>
  </si>
  <si>
    <t>HUBSPORT. INC</t>
  </si>
  <si>
    <t>N.V. 942 ROUPAS LTDA</t>
  </si>
  <si>
    <t>LOCALIZA FLEET S/A</t>
  </si>
  <si>
    <t>BARROS - COMERCIO. LOCACAO E SERVICOS LTDA</t>
  </si>
  <si>
    <t>ANDRE GUSMAN DE OLIVEIRA LTDA</t>
  </si>
  <si>
    <t>MAIS MOBI SERVICOS LTDA</t>
  </si>
  <si>
    <t>ASOF SERVICOS DE CONSTRUCAO LTDA</t>
  </si>
  <si>
    <t>VAGNER JOSE DA SILVA 09853752727</t>
  </si>
  <si>
    <t>POSSEFERRO FERRAGENS</t>
  </si>
  <si>
    <t>TRT 1A. REGIAO</t>
  </si>
  <si>
    <t>CLIENT CO SERVICOS DE REDE NORDESTE S.A.</t>
  </si>
  <si>
    <t>TAMIRES COMUNICACAO</t>
  </si>
  <si>
    <t>Movida Participações S.A.</t>
  </si>
  <si>
    <t>CONTATO SEGURO PREVENCAO DE RISCOS EMPRESARIAIS LTDA</t>
  </si>
  <si>
    <t>A-ACAR S-LOCALIZA RENT A LOCALIZA RENT A CAR S</t>
  </si>
  <si>
    <t>58.409.771 LEANDRO SACELOTTI DA SILVA</t>
  </si>
  <si>
    <t>ERO EMPREENDIMENTOS E PARTICIPACOES LTDA.</t>
  </si>
  <si>
    <t>Sannyservice Locacoes e Servicos LTDA</t>
  </si>
  <si>
    <t>CAD ENGENHARIA DE INCENDIO</t>
  </si>
  <si>
    <t>CLARISSA ARIEL DE FARIA RIBEIRO - TREINAMENTOS</t>
  </si>
  <si>
    <t>EDMILSON SARDEIRO SERAFIM LTDA</t>
  </si>
  <si>
    <t>FERNANDA BEATRIZ OLIVEIRA PONTES APOIO ADMINISTRATIVO LTDA</t>
  </si>
  <si>
    <t>IGOR LESSA DOS SANTOS DA SILVA</t>
  </si>
  <si>
    <t>32.659.779 MARCELLO RODRIGO DE ANDRADE QUEIROZ</t>
  </si>
  <si>
    <t>ANA CAROLINA MAIA DE SOUZA LIMA 13979312720</t>
  </si>
  <si>
    <t>51.525.421 LUIZ GUILHERME DE SOUZA CORSINO BASTOS</t>
  </si>
  <si>
    <t>63.896.182 BRUNO DE MATOS OLIVEIRA</t>
  </si>
  <si>
    <t>MADELAINNE ATELLA BASTOS LTDA</t>
  </si>
  <si>
    <t>JOAO PEDRO DE AZAMBUJA CAMPOS LTDA</t>
  </si>
  <si>
    <t>VANESSA LARA FERREIRA LTDA</t>
  </si>
  <si>
    <t>LUISA SANTOS GONCALVES LOPES SERVICOS ADMINISTRATIVOS LTDA</t>
  </si>
  <si>
    <t>ANTELO CARDOSO SERVICOS LTDA</t>
  </si>
  <si>
    <t>ROMACK CONSULTORIA EM MARKETING LTDA</t>
  </si>
  <si>
    <t>Eloa Vieira Mangueira</t>
  </si>
  <si>
    <t>DINO - CONSTRUCAO</t>
  </si>
  <si>
    <t>LEONARDO FERNANDES DA SILVA CARVALHO</t>
  </si>
  <si>
    <t>Cynthia Torres Muniz</t>
  </si>
  <si>
    <t>FABIANO SOARES MOREIRA</t>
  </si>
  <si>
    <t>MARCELLE DE ALMEIDA GAUDARD SERVICOS ADMINISTRATIVOS LTDA</t>
  </si>
  <si>
    <t>BRUNA MARTINS DE OLIVEIRA</t>
  </si>
  <si>
    <t>LYRA CONSULTORIA &amp; TREINAMENTO LTDA.</t>
  </si>
  <si>
    <t>JACAREPAGUA RJ ALUGUEL DE EQUIPAMENTOS LTDA</t>
  </si>
  <si>
    <t>RODRIGO F COUTINHO</t>
  </si>
  <si>
    <t>Gabriel Araujo Oliveira</t>
  </si>
  <si>
    <t>PAULO ROGERIO DE ANDRADE</t>
  </si>
  <si>
    <t>Madelainne atella Bastos</t>
  </si>
  <si>
    <t>CARLA THOMAZ BARROS VIANNA</t>
  </si>
  <si>
    <t>Fernanda Beatriz Oliveira Pontes</t>
  </si>
  <si>
    <t>JULIANA PEREIRA CAURIO</t>
  </si>
  <si>
    <t>RODRIGO RODRIGUES VIEIRA TECNOLOGIA DA INFORMACAO LTDA</t>
  </si>
  <si>
    <t>JOHNNY RODRIGUES MACHADO</t>
  </si>
  <si>
    <t>JMD TREINAMENTO. GESTAO E CORRETORA DE SEGUROS LTDA</t>
  </si>
  <si>
    <t>HAVILA COMERCIO DE VIDROS E CRISTAIS LTDA</t>
  </si>
  <si>
    <t>3 Reis Comercio e Servicos LTDA</t>
  </si>
  <si>
    <t>SABRINA FREITAS DE ARAUJO SILVA LTDA</t>
  </si>
  <si>
    <t>ASSOCIACAO CENTAURI - GERACAO COMPARTILHADA DE ENERGIA SOLAR</t>
  </si>
  <si>
    <t>LUISA SANTOS GONÇALVES LOPES</t>
  </si>
  <si>
    <t>Alfredo Portugal de Paula Rocha</t>
  </si>
  <si>
    <t>Ian Almeida Afonso Florencio</t>
  </si>
  <si>
    <t>ART AIR REFRIGERACAO</t>
  </si>
  <si>
    <t>CASA DO CONSTRUTOR</t>
  </si>
  <si>
    <t>AVANT REFRIGERACAO E CONSTRUCAO LTDA</t>
  </si>
  <si>
    <t>UNI ESTRELA COMERCIO DE TINTAS LTDA</t>
  </si>
  <si>
    <t>POWER LIGHT COMERCIAL LTDA</t>
  </si>
  <si>
    <t>Grm - Tecnologia e Servicos LTDA</t>
  </si>
  <si>
    <t>61.566.562 LARISSA HEVIA LIMA DONOLA</t>
  </si>
  <si>
    <t>MARCELLE DE ALMEIDA GAUDARD</t>
  </si>
  <si>
    <t>POWER DE IRAJA COMERCIAL LTDA</t>
  </si>
  <si>
    <t>FILTRACON REFRIGERACAO E CONSTRUCAO LTDA.</t>
  </si>
  <si>
    <t>JLO CAROLINO ASSESSORIA CONTABIL</t>
  </si>
  <si>
    <t>RAFAEL RASSI LIRA APOIO ADMINISTRATIVO LTDA</t>
  </si>
  <si>
    <t>MALVES CONTABILIDADE</t>
  </si>
  <si>
    <t>63.257.264 MANUELLA MANHAES PAURA</t>
  </si>
  <si>
    <t>ADRIANA HASSIN SILVA LTDA</t>
  </si>
  <si>
    <t>APROP. 2/6 FATURA 681977917 - HUBSPORT. INC - Pagamento semestral.</t>
  </si>
  <si>
    <t>000004546 - N.V. 942 ROUPAS LTDA - Blusas polo para fucnionários novos do Raiz</t>
  </si>
  <si>
    <t>000545983 - LOCALIZA RENT A CAR SA - Aluguel de veículos</t>
  </si>
  <si>
    <t>000012165 - BARROS - COMERCIO. LOCACAO E SERVICOS LTDA - EMPREITADA JOSE HIGINO - Material elétrico</t>
  </si>
  <si>
    <t>000000029 - ANDRE GUSMAN DE OLIVEIRA LTDA - Pagamento salário</t>
  </si>
  <si>
    <t>057868039 - MAIS MOBI SERVICOS LTDA - CARTÕES PROVISORIOS PARA ADMITIDOS NOVOS</t>
  </si>
  <si>
    <t>000000013 - ASOF SERVICOS DE CONSTRUCAO LTDA - EMPREITADA JOSE HIGINO - Serviços de estuque em paredes internas e fachadas. contrapisos. pintura externa e demolições</t>
  </si>
  <si>
    <t>000000017 - VAGNER JOSE DA SILVA 09853752727 - EMPREITADA JOSE HIGINO - Serviço de textura de fachada</t>
  </si>
  <si>
    <t>000054844 - POSSEFERRO FERRAGENS - EMPREITADA JOSE HIGINO - Tela soldada para calçada</t>
  </si>
  <si>
    <t>000118212 - TRIBUNAL REGIONAL DO TRABALHO DA 1A. REGIAO - Solicito pagamento referente a 4ª parcela de 6. do parcelamento do art. 916 do CPC nos autos da reclamação trabalhista movida por KISSILA DE BRITO ALVARENGA ABB em face da Raiz (processo n. 01</t>
  </si>
  <si>
    <t>018234877 - CLIENT CO SERVICOS DE REDE NORDESTE S.A. - Pagamento referente ao serviço de internet da Raiz Educação.Ref: 12/2025.</t>
  </si>
  <si>
    <t>000000048 - TAMIRES ALVES FERNANDES DA SILVA 12242854763 - Social Media: Planejamento e criação de publicações de posts para redes sociais das escolas do Grupo.</t>
  </si>
  <si>
    <t>007715101 - Movida Participações S.A. - Pagamento referente ao aluguel de veículo.</t>
  </si>
  <si>
    <t>000000552 - CONTATO SEGURO PREVENCAO DE RISCOS EMPRESARIAIS LTDA - Contato Seguro.</t>
  </si>
  <si>
    <t>A - Aluguel de veículos-ACAR S-000082721 - LOCALIZA RENT A LOCALIZA RENT A CAR S</t>
  </si>
  <si>
    <t>000000207 - 58.409.771 LEANDRO SACELOTTI DA SILVA - EMISSÃO DE NOTAS FISCAL MANUAL DA COMPETÊNCIA DE DEZ/2025. REFERENTE AOS SERVIÇO PRESTADOS DAS COLIGADAS (COLEGIO AMERICANO. COLEGIO LEONARDO DA VINCI ALFA E BETA . COLEGIO UNIFICADO RAMIRO E ZONA S</t>
  </si>
  <si>
    <t>000000029 - ERO EMPREENDIMENTOS E PARTICIPACOES LTDA. - Pagamento referente ao aluguem do imóvel Av. das Américas. 2000 box 69 - Barra da Tijuca. Rio de Janeiro.Competência Janeiro/2026</t>
  </si>
  <si>
    <t>000202580 - Sannyservice Locacoes e Servicos LTDA - LOCAÇÃO DE BANHEIRO QUIMICO  PARA PAIS E VISITANTES ATÉ 30/01</t>
  </si>
  <si>
    <t>000000001 - CAD ENGENHARIA DE INCENDIO EIRELI - EMPREITADA JOSE HIGINO - Instalação do Sistema de Prevenção e Combate à Incêndio</t>
  </si>
  <si>
    <t>007755468 - Movida Participações S.A. - Pagamento referente ao aluguel de veículo.</t>
  </si>
  <si>
    <t>007765965 - Movida Participações S.A. - Pagamento referente ao aluguel de veículo.</t>
  </si>
  <si>
    <t>000000045 - CLARISSA ARIEL DE FARIA RIBEIRO - TREINAMENTOS - NF ref aos serviços prestados de Coordenadora de RH no mês de Dezembro/2025.</t>
  </si>
  <si>
    <t>000000001 - EDMILSON SARDEIRO SERAFIM LTDA - Pgto PJ do Planfin</t>
  </si>
  <si>
    <t>000000004 - FERNANDA BEATRIZ OLIVEIRA PONTES APOIO ADMINISTRATIVO LTDA - Referente ao serviço de Especialista de Treinamento e Desenvolvimento</t>
  </si>
  <si>
    <t>000000015 - IGOR LESSA DOS SANTOS DA SILVA - EMPREITADA JOSE HIGINO - Acompanhamento de obra e engenharia consultiva</t>
  </si>
  <si>
    <t>000000008 - 32.659.779 MARCELLO RODRIGO DE ANDRADE QUEIROZ - Criação e edição de materiais gráficos</t>
  </si>
  <si>
    <t>000000029 - ANA CAROLINA MAIA DE SOUZA LIMA 13979312720 - Atividades de SAC e Repost de stories aos finais de semana para contas de instagram do Grupo. REF 12/2025</t>
  </si>
  <si>
    <t>000000029 - 51.525.421 LUIZ GUILHERME DE SOUZA CORSINO BASTOS - Acompanhamento e suporte nas solicitações e correções dos sites do Grupo.</t>
  </si>
  <si>
    <t>000000002 - 63.896.182 BRUNO DE MATOS OLIVEIRA - Solicitação de pagamento referente à Nota Fiscal de Serviço Eletrônica (NFS-e) emitida por 63.896.182 BRUNO DE MATOS OLIVEIRA (MEI). CNPJ 63.896.182/0001-40. no valor de R$ 6.400.00. relativa à prestaç</t>
  </si>
  <si>
    <t>000020261 - MADELAINNE ATELLA BASTOS LTDA - Serviço PJ</t>
  </si>
  <si>
    <t>000020261 - JOAO PEDRO DE AZAMBUJA CAMPOS LTDA - Pagamento referente à prestação de serviços entre os dias 01/12/2025 e 31/12/2025.</t>
  </si>
  <si>
    <t>000000001 - VANESSA LARA FERREIRA LTDA - Pagamento mensal. Valor de R$13.000.00 descontado 1/3 de R$1.983.33</t>
  </si>
  <si>
    <t>000020261 - LUISA SANTOS GONCALVES LOPES SERVICOS ADMINISTRATIVOS LTDA - Referente ao pagamento salarial de dezembro 25</t>
  </si>
  <si>
    <t>000000001 - ANTELO CARDOSO SERVICOS LTDA - Direcao cmef</t>
  </si>
  <si>
    <t>000020261 - ROMACK CONSULTORIA EM MARKETING LTDA - Nota referente à prestação de serviços de marketing.</t>
  </si>
  <si>
    <t>000004018 - Eloa Vieira Mangueira  - Segue os comprovantes de deslocamento para o Matriz nos dias 22 e 23/12</t>
  </si>
  <si>
    <t>000072583 - MATERIAIS DE CONSTRUCAO DINO LTDA - EMPREITADA JOSE HIGINO - Material de pintura</t>
  </si>
  <si>
    <t>000004019 - LEONARDO FERNANDES DA SILVA CARVALHO - Solicito reembolso das despesas com deslocamento realizadas por meio de transporte Uber/99. referentes aos dias 22 e 23 de dezembro. no trajeto ida e volta entre Tijuca e a unidade Matriz Taquara. on</t>
  </si>
  <si>
    <t>11.-11 ao dia 07-000004020 - Cynthia Torres Muniz - Solicitação o reembolso da viagem que fiz para Porto Alegre. do dia 03</t>
  </si>
  <si>
    <t>020251056 - FABIANO SOARES MOREIRA - MEI - Serviço de manutenção das Escolas da Rede Apogeu  Juiz de Fora - mês dezembro 25</t>
  </si>
  <si>
    <t>000000003 -  MARCELLE DE ALMEIDA GAUDARD SERVICOS ADMINISTRATIVOS LTDA - Referente a dezembro/25</t>
  </si>
  <si>
    <t>000004021 - BRUNA MARTINS DE OLIVEIRA - Reembolso referente curso de pós graduação de IA para Contabilidade - Dez/25</t>
  </si>
  <si>
    <t>2025. no valor de R$ 266.67. correspondente ao pagamento do 13º salário proporcional (½ avo) do exercício de 2025. conforme critério ad-12-000000001 - 63.896.182 BRUNO DE MATOS OLIVEIRA - Solicitação de pagamento referente à NFS-e nº 1. emitida em 29</t>
  </si>
  <si>
    <t>000000672 - LYRA CONSULTORIA &amp; TREINAMENTO LTDA. - Serviços prestados em 01/12/25 a 31/12/25</t>
  </si>
  <si>
    <t>000130719 - JACAREPAGUA RJ ALUGUEL DE EQUIPAMENTOS LTDA - EMPREITADA JOSE HIGINO - Locação de rompedor 16kg</t>
  </si>
  <si>
    <t>000545827 - LOCALIZA RENT A CAR SA - Aluguel de veículos</t>
  </si>
  <si>
    <t>000000120 - RODRIGO F COUTINHO - Referente aos serviços prestados em dez/25.</t>
  </si>
  <si>
    <t>000004022 - Gabriel Araujo Oliveira - Reembolso restaurante. meta batida dezembro. equipe.</t>
  </si>
  <si>
    <t>000000230 - PAULO ROGERIO DE ANDRADE SANTOS APOIO ADMINISTRATIVO - NF referente ao décimo terceiro de 2025.</t>
  </si>
  <si>
    <t>000000229 - PAULO ROGERIO DE ANDRADE SANTOS APOIO ADMINISTRATIVO - NF referente ao mês de dezembro de 2025.</t>
  </si>
  <si>
    <t>000004023 - Madelainne atella Bastos - São ações diversas da Central</t>
  </si>
  <si>
    <t>000004024 - Carla Thomaz Barros Vianna - Reembolso referente a:- Café da manhã do time de Pessoas e Cultura - R$364.74- Energético para André (festa de final de ano) - R$239.98</t>
  </si>
  <si>
    <t>000004026 - Fernanda Beatriz Oliveira Pontes - Referente aos custos no dia da festa de final de ano do RJUber para Freeway - R$ 59.87Uber para Faro - R$ 39.71Uber para casa - R$ 121.80Almoço - Mariana e Fernanda R$ 123.68</t>
  </si>
  <si>
    <t>000004027 - JULIANA PEREIRA CAURIO - Segue despesas no cartão de credito que é usado em gastos de eventos</t>
  </si>
  <si>
    <t>000000006 - RODRIGO RODRIGUES VIEIRA TECNOLOGIA DA INFORMACAO LTDA - SOLICITAÇÃO DE PAGAMENTO PARA COLABORADOR PJ</t>
  </si>
  <si>
    <t>000004029 - Fernanda Beatriz Oliveira Pontes - Reembolso referente aos custos da viagem ao RS para reunião com as marcas e festa de final de ano. Segue descritivo:Uber - ida para aeroporto - R$57.99Uber - hotel para local da festa para organização -</t>
  </si>
  <si>
    <t>000004030 - JOHNNY RODRIGUES MACHADO - Prezados. envio a prestação de contas do cartão de fundo fixo utilizado pela Gerência de Marketing. Mídia e Eventos. Em anexo opcionais. envio mais um documento com o detalhamento dos custos itens a itens</t>
  </si>
  <si>
    <t>000000002 - JMD TREINAMENTO. GESTAO E CORRETORA DE SEGUROS LTDA - Serviços de Gerência Comercial</t>
  </si>
  <si>
    <t>000072507 - MATERIAIS DE CONSTRUCAO DINO LTDA - Compra de material de pintura para recesso</t>
  </si>
  <si>
    <t>000000800 - HAVILA COMERCIO DE VIDROS E CRISTAIS LTDA - Colocacao de borracha nos vidros</t>
  </si>
  <si>
    <t>000000325 - 3 Reis Comercio e Servicos LTDA - Pagamento referente compra de lixeiras - capex - enxoval Sarah</t>
  </si>
  <si>
    <t>000020261 - SABRINA FREITAS DE ARAUJO SILVA LTDA - referente a dezembro.2025</t>
  </si>
  <si>
    <t>202570810 - ASSOCIACAO CENTAURI - GERACAO COMPARTILHADA DE ENERGIA SOLAR - Referente a GENIAL - Raiz Educação Av das Américas 2000Referência: 12/2025Instalação: 414854248</t>
  </si>
  <si>
    <t>000004032 - LUISA SANTOS GONÇALVES LOPES - 27/out R$           26.92raiz x escola05/nov R$           30.10escola x escola05/nov R$           69.89escola x casa10/nov R$           32.57escola13/nov R$           15.39casax viagem JF19/nov R$</t>
  </si>
  <si>
    <t>000004033 - Alfredo Portugal de Paula Rocha - Reembolso Alfredo</t>
  </si>
  <si>
    <t>000004034 - Ian Almeida Afonso Florencio - Boa tarde!Solicito o reembolso referente ao pagamento de R$290.00 para troca da tela do aparelho celular Motorola E13 da Raiz Educação que utilizo em Juiz de Fora.Conforme acordado com o Kevin. eu realizei o</t>
  </si>
  <si>
    <t>000001252 - ART AIR RIO PECAS DE REFRIGERACAO LTDA - Material de Manutenção Elétrico</t>
  </si>
  <si>
    <t>000235385 - CASA DO CONSTRUTOR E MATERIAIS DE CONSTRUCAO LTDA  - Material para uso na unidade</t>
  </si>
  <si>
    <t>000072548 - MATERIAIS DE CONSTRUCAO DINO LTDA - Compra de material de pintura do recesso</t>
  </si>
  <si>
    <t>000072536 - MATERIAIS DE CONSTRUCAO DINO LTDA - Compra de material de pintura no recesso</t>
  </si>
  <si>
    <t>000000432 - AVANT REFRIGERACAO E CONSTRUCAO LTDA - Material para unidade.</t>
  </si>
  <si>
    <t>000006865 - UNI ESTRELA COMERCIO DE TINTAS LTDA - Pintura do recesso</t>
  </si>
  <si>
    <t>000004607 - POWER LIGHT COMERCIAL LTDA - Material para unidade</t>
  </si>
  <si>
    <t>000003347 - Grm - Tecnologia e Servicos LTDA - Compra de carrinho de carregamento de notebook</t>
  </si>
  <si>
    <t>000000008 - 61.566.562 LARISSA HEVIA LIMA DONOLA - Serviço mensal: Execução das demandas internas dos projetos de automatização dentro de P&amp;C(DP) e suporte e consultoria internas das demandas operacionais de todas as cadeiras do DP. Contrato no valor</t>
  </si>
  <si>
    <t>000004035 - MARCELLE DE ALMEIDA GAUDARD - reembolso referente aos tickets de compra 104101104685</t>
  </si>
  <si>
    <t>000000872 - POWER DE IRAJA COMERCIAL LTDA - Material para unidade</t>
  </si>
  <si>
    <t>000004601 - POWER LIGHT COMERCIAL LTDA - Material para unidade.</t>
  </si>
  <si>
    <t>000003369 - FILTRACON REFRIGERACAO E CONSTRUCAO LTDA. - Material para unidade</t>
  </si>
  <si>
    <t>000000001 - JLO CAROLINO ASSESSORIA CONTABIL - Serviços contábeis e fiscais realizados no mês de dezembro/2025</t>
  </si>
  <si>
    <t>000000003 - RAFAEL RASSI LIRA APOIO ADMINISTRATIVO LTDA - Serviço de auditoria educacional em Dez/25</t>
  </si>
  <si>
    <t>000020261 - MALVES CONTABILIDADE LTDA - Segue NF referente ao serviço prestado ao DP mensalmente. Caso haja atraso. o boleto pode ser quitado via QRCode presente no documento.</t>
  </si>
  <si>
    <t>2026-01-000000010 - 63.257.264 MANUELLA MANHAES PAURA - Pagamento para 07</t>
  </si>
  <si>
    <t>000000002 - ADRIANA HASSIN SILVA LTDA - referente ajuste de proposta janeiro 2026</t>
  </si>
  <si>
    <t>000020263 - ANDRE GUSMAN DE OLIVEIRA LTDA - Parcela 13o de 2025</t>
  </si>
  <si>
    <t>Sim</t>
  </si>
  <si>
    <t>4.2.1.05.01.09</t>
  </si>
  <si>
    <t>4.2.1.03.01.06</t>
  </si>
  <si>
    <t>4.2.1.02.06.02</t>
  </si>
  <si>
    <t>1.2.3.01.01.01</t>
  </si>
  <si>
    <t>4.2.1.02.01.03</t>
  </si>
  <si>
    <t>4.2.1.01.03.05</t>
  </si>
  <si>
    <t>4.2.1.07.01.01</t>
  </si>
  <si>
    <t>4.2.1.02.04.05</t>
  </si>
  <si>
    <t>4.2.1.02.01.08</t>
  </si>
  <si>
    <t>4.2.1.02.01.29</t>
  </si>
  <si>
    <t>4.1.2.01.01.08</t>
  </si>
  <si>
    <t>4.2.1.04.01.01</t>
  </si>
  <si>
    <t>4.2.1.04.01.02</t>
  </si>
  <si>
    <t>4.2.1.04.01.06</t>
  </si>
  <si>
    <t>4.2.1.02.04.02</t>
  </si>
  <si>
    <t>4.2.1.02.04.01</t>
  </si>
  <si>
    <t>4.2.1.02.06.13</t>
  </si>
  <si>
    <t>4.2.1.07.01.07</t>
  </si>
  <si>
    <t>4.2.1.02.02.01</t>
  </si>
  <si>
    <t>4.2.1.01.03.01</t>
  </si>
  <si>
    <t>4.2.1.02.03.99</t>
  </si>
  <si>
    <t>4.2.1.02.03.10</t>
  </si>
  <si>
    <t>4.2.1.02.03.06</t>
  </si>
  <si>
    <t>4.2.1.02.05.05</t>
  </si>
  <si>
    <t>4.1.2.03.01.06</t>
  </si>
  <si>
    <t>4.2.1.02.06.07</t>
  </si>
  <si>
    <t>4.2.1.02.05.04</t>
  </si>
  <si>
    <t>4.2.1.11.01.03</t>
  </si>
  <si>
    <t>4.1.2.02.01.07</t>
  </si>
  <si>
    <t>4.2.1.03.01.01</t>
  </si>
  <si>
    <t>4.2.1.03.01.99</t>
  </si>
  <si>
    <t>4.2.1.02.02.04</t>
  </si>
  <si>
    <t>4.2.1.03.01.15</t>
  </si>
  <si>
    <t>4.2.1.03.01.04</t>
  </si>
  <si>
    <t>4.2.1.02.02.06</t>
  </si>
  <si>
    <t>4.2.1.03.01.18</t>
  </si>
  <si>
    <t>DESPESAS</t>
  </si>
  <si>
    <t>CUSTOS</t>
  </si>
  <si>
    <t>CAPEX</t>
  </si>
  <si>
    <t>RES_FIN</t>
  </si>
  <si>
    <t>Marketing</t>
  </si>
  <si>
    <t>Materiais de Consumo</t>
  </si>
  <si>
    <t>Despesa com Serviços de Terceiros</t>
  </si>
  <si>
    <t>Benfeitoria</t>
  </si>
  <si>
    <t>Funcionários Administrativos</t>
  </si>
  <si>
    <t>Outras Despesas</t>
  </si>
  <si>
    <t>Serviços Públicos</t>
  </si>
  <si>
    <t>Imoveis</t>
  </si>
  <si>
    <t>Custo de Eventos com Receita</t>
  </si>
  <si>
    <t>Resultado Financeiro</t>
  </si>
  <si>
    <t>Custo com Materiais</t>
  </si>
  <si>
    <t>Marketing Interno</t>
  </si>
  <si>
    <t>Despesas com Material de Consumo</t>
  </si>
  <si>
    <t>Despesas com Transporte</t>
  </si>
  <si>
    <t>Servicos Profissionais PJ</t>
  </si>
  <si>
    <t>Beneficios aos Funcionarios</t>
  </si>
  <si>
    <t>HONORÁRIOS &amp; CUSTAS PROCESSUAIS</t>
  </si>
  <si>
    <t>Utilidades e Serviços</t>
  </si>
  <si>
    <t>Servicos Profissionais e Contratados</t>
  </si>
  <si>
    <t>Remuneração Administrativos</t>
  </si>
  <si>
    <t>Materiais)-Manutenção(Serviços-Desp.c</t>
  </si>
  <si>
    <t>Servicos Contratados de Pessoas e Cultura</t>
  </si>
  <si>
    <t>Eventos</t>
  </si>
  <si>
    <t>Despesas com Viagens</t>
  </si>
  <si>
    <t>Receitas Financeiras</t>
  </si>
  <si>
    <t>Custo com Material Didatico</t>
  </si>
  <si>
    <t>Publicidade</t>
  </si>
  <si>
    <t>Uniformes- Confecções -Vestuário</t>
  </si>
  <si>
    <t>Aluguel de Veiculo</t>
  </si>
  <si>
    <t>Imobilizado em Andamento</t>
  </si>
  <si>
    <t>Serviços Prestados PJ</t>
  </si>
  <si>
    <t>Vale Transporte (VT) de Funcionarios</t>
  </si>
  <si>
    <t>Perdas e Encargos de Processos Judiciais</t>
  </si>
  <si>
    <t>Telecomunicação/Internet</t>
  </si>
  <si>
    <t>Serviços Fotográficos</t>
  </si>
  <si>
    <t>Licença de Uso de Software</t>
  </si>
  <si>
    <t>Outros - Servicos Terceirizados</t>
  </si>
  <si>
    <t>Aluguel</t>
  </si>
  <si>
    <t>IPTU</t>
  </si>
  <si>
    <t>Condominio</t>
  </si>
  <si>
    <t>Água e Esgoto</t>
  </si>
  <si>
    <t>Energia Elétrica</t>
  </si>
  <si>
    <t>Despesas com Condução</t>
  </si>
  <si>
    <t>Lanches e Refeições</t>
  </si>
  <si>
    <t>Manut Edificações Instal. e Laboratórios</t>
  </si>
  <si>
    <t>Cursos de Formacao/Treinamento de Funcio</t>
  </si>
  <si>
    <t>Outros - Eventos</t>
  </si>
  <si>
    <t>Promoções e Eventos</t>
  </si>
  <si>
    <t>Celebrações e Comemoração</t>
  </si>
  <si>
    <t>Transporte em Viagem</t>
  </si>
  <si>
    <t>Outros Serviços c/ Eventos</t>
  </si>
  <si>
    <t>Estadias e Garagens \ Estacionamento</t>
  </si>
  <si>
    <t>Lanches/Refeições em Viagens</t>
  </si>
  <si>
    <t>Descontos Obtidos</t>
  </si>
  <si>
    <t>Copa e Alimentos</t>
  </si>
  <si>
    <t>Outros - Materiais de Operacao</t>
  </si>
  <si>
    <t>Manut Equip Telefônico</t>
  </si>
  <si>
    <t>Material Elétrico - Hidráulico</t>
  </si>
  <si>
    <t>Material Informática</t>
  </si>
  <si>
    <t>Manut de Móveis e Reformas</t>
  </si>
  <si>
    <t>Sinalização-Utens-Pequenas Ferramentas</t>
  </si>
  <si>
    <t>Material de Consumo &amp; Operações</t>
  </si>
  <si>
    <t>Folha (Funcionários)</t>
  </si>
  <si>
    <t>Jurídico &amp; Auditoria</t>
  </si>
  <si>
    <t>Sistemas &amp; Tecnologia</t>
  </si>
  <si>
    <t>Eventos Comerciais</t>
  </si>
  <si>
    <t>Imóveis</t>
  </si>
  <si>
    <t>Água &amp; Gás</t>
  </si>
  <si>
    <t>Energia</t>
  </si>
  <si>
    <t>Manutenção &amp; Conservação</t>
  </si>
  <si>
    <t>Pedagógico</t>
  </si>
  <si>
    <t>Material Didático &amp; Frete</t>
  </si>
  <si>
    <t>Outros</t>
  </si>
  <si>
    <t>Original</t>
  </si>
  <si>
    <t>Real</t>
  </si>
  <si>
    <t>COMERCIAL</t>
  </si>
  <si>
    <t>Gerência de Gestão de Pessoas</t>
  </si>
  <si>
    <t>CSC OPERAÇÕES</t>
  </si>
  <si>
    <t>SARAH DAWSEY - TIJUCA</t>
  </si>
  <si>
    <t>CSC DP</t>
  </si>
  <si>
    <t>CSC JURÍDICO</t>
  </si>
  <si>
    <t>CSC TI</t>
  </si>
  <si>
    <t>CSC PEDAGÓGICO/DCIP</t>
  </si>
  <si>
    <t>CSC RH</t>
  </si>
  <si>
    <t>CSC - FINANCEIRO</t>
  </si>
  <si>
    <t>PESSOAL PJ</t>
  </si>
  <si>
    <t>Comercial</t>
  </si>
  <si>
    <t>APOGEU - MANUTENÇÃO</t>
  </si>
  <si>
    <t>CSC TREINAMENTO E CAPACITAÇÃO</t>
  </si>
  <si>
    <t>CSC INSTITUCIONAL</t>
  </si>
  <si>
    <t>CSC - ALMOXARIFADO/MANUTENÇÃO.</t>
  </si>
  <si>
    <t>CSC - NOVA SEDE</t>
  </si>
  <si>
    <t>APOGEU - APOIO DE OPERAÇÕES (CORREIO. UBER. MAT. ESCRITÓRIO)</t>
  </si>
  <si>
    <t>bruna.martins</t>
  </si>
  <si>
    <t>rosangela.amancio</t>
  </si>
  <si>
    <t>p_heflo</t>
  </si>
  <si>
    <t>1-38503</t>
  </si>
  <si>
    <t>1-38539</t>
  </si>
  <si>
    <t>1-38540</t>
  </si>
  <si>
    <t>1-38543</t>
  </si>
  <si>
    <t>1-38548</t>
  </si>
  <si>
    <t>1-38553</t>
  </si>
  <si>
    <t>1-38554</t>
  </si>
  <si>
    <t>1-38555</t>
  </si>
  <si>
    <t>1-38556</t>
  </si>
  <si>
    <t>1-38560</t>
  </si>
  <si>
    <t>1-38561</t>
  </si>
  <si>
    <t>1-38564</t>
  </si>
  <si>
    <t>1-38568</t>
  </si>
  <si>
    <t>1-38569</t>
  </si>
  <si>
    <t>1-38570</t>
  </si>
  <si>
    <t>1-38572</t>
  </si>
  <si>
    <t>1-38574</t>
  </si>
  <si>
    <t>1-38578</t>
  </si>
  <si>
    <t>1-38580</t>
  </si>
  <si>
    <t>1-38598</t>
  </si>
  <si>
    <t>1-38604</t>
  </si>
  <si>
    <t>1-38605</t>
  </si>
  <si>
    <t>1-38606</t>
  </si>
  <si>
    <t>1-38607</t>
  </si>
  <si>
    <t>1-38608</t>
  </si>
  <si>
    <t>1-38610</t>
  </si>
  <si>
    <t>1-38611</t>
  </si>
  <si>
    <t>1-38612</t>
  </si>
  <si>
    <t>1-38613</t>
  </si>
  <si>
    <t>1-38615</t>
  </si>
  <si>
    <t>1-38617</t>
  </si>
  <si>
    <t>1-38618</t>
  </si>
  <si>
    <t>1-38620</t>
  </si>
  <si>
    <t>1-38623</t>
  </si>
  <si>
    <t>1-38627</t>
  </si>
  <si>
    <t>1-38631</t>
  </si>
  <si>
    <t>1-38632</t>
  </si>
  <si>
    <t>1-38633</t>
  </si>
  <si>
    <t>1-38637</t>
  </si>
  <si>
    <t>1-38638</t>
  </si>
  <si>
    <t>1-38639</t>
  </si>
  <si>
    <t>1-38640</t>
  </si>
  <si>
    <t>1-38643</t>
  </si>
  <si>
    <t>1-38644</t>
  </si>
  <si>
    <t>1-38645</t>
  </si>
  <si>
    <t>1-38646</t>
  </si>
  <si>
    <t>1-38647</t>
  </si>
  <si>
    <t>1-38648</t>
  </si>
  <si>
    <t>1-38650</t>
  </si>
  <si>
    <t>1-38651</t>
  </si>
  <si>
    <t>1-38652</t>
  </si>
  <si>
    <t>1-38653</t>
  </si>
  <si>
    <t>1-38655</t>
  </si>
  <si>
    <t>1-38658</t>
  </si>
  <si>
    <t>1-38660</t>
  </si>
  <si>
    <t>1-38661</t>
  </si>
  <si>
    <t>1-38662</t>
  </si>
  <si>
    <t>1-38664</t>
  </si>
  <si>
    <t>1-38666</t>
  </si>
  <si>
    <t>1-38668</t>
  </si>
  <si>
    <t>1-38669</t>
  </si>
  <si>
    <t>1-38671</t>
  </si>
  <si>
    <t>1-38672</t>
  </si>
  <si>
    <t>1-38673</t>
  </si>
  <si>
    <t>1-38674</t>
  </si>
  <si>
    <t>1-38676</t>
  </si>
  <si>
    <t>1-38681</t>
  </si>
  <si>
    <t>1-38684</t>
  </si>
  <si>
    <t>1-38686</t>
  </si>
  <si>
    <t>1-38689</t>
  </si>
  <si>
    <t>1-38690</t>
  </si>
  <si>
    <t>1-38691</t>
  </si>
  <si>
    <t>1-38692</t>
  </si>
  <si>
    <t>1-38693</t>
  </si>
  <si>
    <t>1-38695</t>
  </si>
  <si>
    <t>1-38701</t>
  </si>
  <si>
    <t>1-38704</t>
  </si>
  <si>
    <t>1-38705</t>
  </si>
  <si>
    <t>1-38706</t>
  </si>
  <si>
    <t>1-38719</t>
  </si>
  <si>
    <t>1-38720</t>
  </si>
  <si>
    <t>1-38722</t>
  </si>
  <si>
    <t>1-38723</t>
  </si>
  <si>
    <t>1-38724</t>
  </si>
  <si>
    <t>1-38726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</si>
</sst>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101"/>
  <sheetViews>
    <sheetView tabSelected="1" topLeftCell="F1" workbookViewId="0">
      <selection activeCell="AE2" sqref="AE2:AE101"/>
    </sheetView>
  </sheetViews>
  <sheetFormatPr defaultRowHeight="13.8" x14ac:dyDescent="0.3"/>
  <cols>
    <col min="1" max="1" width="13.33203125" style="2" bestFit="1" customWidth="1"/>
    <col min="2" max="2" width="9" style="2" bestFit="1" customWidth="1"/>
    <col min="3" max="5" width="8.88671875" style="2"/>
    <col min="6" max="7" width="9" style="2" bestFit="1" customWidth="1"/>
    <col min="8" max="8" width="8.88671875" style="2"/>
    <col min="9" max="9" width="9" style="2" bestFit="1" customWidth="1"/>
    <col min="10" max="10" width="9.44140625" style="2" bestFit="1" customWidth="1"/>
    <col min="11" max="21" width="8.88671875" style="2"/>
    <col min="22" max="23" width="9" style="2" bestFit="1" customWidth="1"/>
    <col min="24" max="28" width="8.88671875" style="2"/>
    <col min="29" max="29" width="19.21875" style="2" bestFit="1" customWidth="1"/>
    <col min="30" max="30" width="14.33203125" style="2" bestFit="1" customWidth="1"/>
    <col min="31" max="31" width="8.88671875" style="2"/>
    <col min="32" max="32" width="9" style="2" bestFit="1" customWidth="1"/>
    <col min="33" max="16384" width="8.88671875" style="2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idden="1" x14ac:dyDescent="0.3">
      <c r="A2" s="2">
        <v>89841612746</v>
      </c>
      <c r="B2" s="2">
        <v>0</v>
      </c>
      <c r="C2" s="2" t="s">
        <v>32</v>
      </c>
      <c r="D2" s="2" t="s">
        <v>33</v>
      </c>
      <c r="E2" s="2" t="s">
        <v>35</v>
      </c>
      <c r="F2" s="2">
        <v>612746</v>
      </c>
      <c r="H2" s="2" t="s">
        <v>41</v>
      </c>
      <c r="I2" s="2">
        <v>202601</v>
      </c>
      <c r="J2" s="2">
        <v>-25666.67</v>
      </c>
      <c r="K2" s="2" t="s">
        <v>115</v>
      </c>
      <c r="L2" s="2" t="s">
        <v>200</v>
      </c>
      <c r="M2" s="2" t="s">
        <v>201</v>
      </c>
      <c r="N2" s="2" t="s">
        <v>237</v>
      </c>
      <c r="O2" s="2" t="s">
        <v>241</v>
      </c>
      <c r="P2" s="2" t="s">
        <v>252</v>
      </c>
      <c r="Q2" s="2" t="s">
        <v>267</v>
      </c>
      <c r="R2" s="2" t="s">
        <v>267</v>
      </c>
      <c r="S2" s="2" t="s">
        <v>314</v>
      </c>
      <c r="T2" s="2" t="s">
        <v>315</v>
      </c>
      <c r="U2" s="2" t="s">
        <v>316</v>
      </c>
      <c r="V2" s="2">
        <v>1</v>
      </c>
      <c r="W2" s="2">
        <v>1</v>
      </c>
      <c r="X2" s="2" t="s">
        <v>334</v>
      </c>
      <c r="Y2" s="2" t="s">
        <v>201</v>
      </c>
      <c r="Z2" s="2" t="s">
        <v>237</v>
      </c>
      <c r="AA2" s="2" t="s">
        <v>267</v>
      </c>
      <c r="AB2" s="2" t="s">
        <v>267</v>
      </c>
      <c r="AC2" s="2">
        <v>38503</v>
      </c>
      <c r="AD2" s="2" t="s">
        <v>337</v>
      </c>
      <c r="AE2" s="2">
        <f>COUNTIF(AD:AD,AD2)</f>
        <v>1</v>
      </c>
      <c r="AF2" s="2">
        <v>202601</v>
      </c>
    </row>
    <row r="3" spans="1:32" hidden="1" x14ac:dyDescent="0.3">
      <c r="A3" s="2">
        <v>89778612610</v>
      </c>
      <c r="B3" s="2">
        <v>1201</v>
      </c>
      <c r="C3" s="2" t="s">
        <v>32</v>
      </c>
      <c r="D3" s="2" t="s">
        <v>33</v>
      </c>
      <c r="E3" s="2" t="s">
        <v>36</v>
      </c>
      <c r="F3" s="2">
        <v>612610</v>
      </c>
      <c r="G3" s="2">
        <v>97631</v>
      </c>
      <c r="H3" s="2" t="s">
        <v>42</v>
      </c>
      <c r="I3" s="2">
        <v>202601</v>
      </c>
      <c r="J3" s="2">
        <v>-3150</v>
      </c>
      <c r="K3" s="2" t="s">
        <v>116</v>
      </c>
      <c r="L3" s="2" t="s">
        <v>200</v>
      </c>
      <c r="M3" s="2" t="s">
        <v>202</v>
      </c>
      <c r="N3" s="2" t="s">
        <v>238</v>
      </c>
      <c r="O3" s="2" t="s">
        <v>242</v>
      </c>
      <c r="P3" s="2" t="s">
        <v>253</v>
      </c>
      <c r="Q3" s="2" t="s">
        <v>268</v>
      </c>
      <c r="R3" s="2" t="s">
        <v>302</v>
      </c>
      <c r="S3" s="2" t="s">
        <v>314</v>
      </c>
      <c r="T3" s="2" t="s">
        <v>315</v>
      </c>
      <c r="U3" s="2" t="s">
        <v>317</v>
      </c>
      <c r="V3" s="2">
        <v>1</v>
      </c>
      <c r="W3" s="2">
        <v>1</v>
      </c>
      <c r="X3" s="2" t="s">
        <v>335</v>
      </c>
      <c r="Y3" s="2" t="s">
        <v>202</v>
      </c>
      <c r="Z3" s="2" t="s">
        <v>238</v>
      </c>
      <c r="AA3" s="2" t="s">
        <v>268</v>
      </c>
      <c r="AB3" s="2" t="s">
        <v>302</v>
      </c>
      <c r="AC3" s="2">
        <v>38539</v>
      </c>
      <c r="AD3" s="2" t="s">
        <v>338</v>
      </c>
      <c r="AE3" s="2">
        <f t="shared" ref="AE3:AE66" si="0">COUNTIF(AD:AD,AD3)</f>
        <v>1</v>
      </c>
      <c r="AF3" s="2">
        <v>202601</v>
      </c>
    </row>
    <row r="4" spans="1:32" hidden="1" x14ac:dyDescent="0.3">
      <c r="A4" s="2">
        <v>89779612612</v>
      </c>
      <c r="B4" s="2">
        <v>1216</v>
      </c>
      <c r="C4" s="2" t="s">
        <v>32</v>
      </c>
      <c r="D4" s="2" t="s">
        <v>33</v>
      </c>
      <c r="E4" s="2" t="s">
        <v>36</v>
      </c>
      <c r="F4" s="2">
        <v>612612</v>
      </c>
      <c r="G4" s="2">
        <v>118679</v>
      </c>
      <c r="H4" s="2" t="s">
        <v>43</v>
      </c>
      <c r="I4" s="2">
        <v>202601</v>
      </c>
      <c r="J4" s="2">
        <v>-3809.23</v>
      </c>
      <c r="K4" s="2" t="s">
        <v>117</v>
      </c>
      <c r="L4" s="2" t="s">
        <v>200</v>
      </c>
      <c r="M4" s="2" t="s">
        <v>203</v>
      </c>
      <c r="N4" s="2" t="s">
        <v>238</v>
      </c>
      <c r="O4" s="2" t="s">
        <v>243</v>
      </c>
      <c r="P4" s="2" t="s">
        <v>254</v>
      </c>
      <c r="Q4" s="2" t="s">
        <v>269</v>
      </c>
      <c r="R4" s="2" t="s">
        <v>302</v>
      </c>
      <c r="S4" s="2" t="s">
        <v>314</v>
      </c>
      <c r="T4" s="2" t="s">
        <v>315</v>
      </c>
      <c r="U4" s="2" t="s">
        <v>318</v>
      </c>
      <c r="V4" s="2">
        <v>1</v>
      </c>
      <c r="W4" s="2">
        <v>1</v>
      </c>
      <c r="X4" s="2" t="s">
        <v>336</v>
      </c>
      <c r="Y4" s="2" t="s">
        <v>203</v>
      </c>
      <c r="Z4" s="2" t="s">
        <v>238</v>
      </c>
      <c r="AA4" s="2" t="s">
        <v>269</v>
      </c>
      <c r="AB4" s="2" t="s">
        <v>302</v>
      </c>
      <c r="AC4" s="2">
        <v>38540</v>
      </c>
      <c r="AD4" s="2" t="s">
        <v>339</v>
      </c>
      <c r="AE4" s="2">
        <f t="shared" si="0"/>
        <v>1</v>
      </c>
      <c r="AF4" s="2">
        <v>202601</v>
      </c>
    </row>
    <row r="5" spans="1:32" hidden="1" x14ac:dyDescent="0.3">
      <c r="A5" s="2">
        <v>89780612614</v>
      </c>
      <c r="B5" s="2">
        <v>1201</v>
      </c>
      <c r="C5" s="2" t="s">
        <v>32</v>
      </c>
      <c r="D5" s="2" t="s">
        <v>33</v>
      </c>
      <c r="E5" s="2" t="s">
        <v>36</v>
      </c>
      <c r="F5" s="2">
        <v>612614</v>
      </c>
      <c r="G5" s="2">
        <v>118639</v>
      </c>
      <c r="H5" s="2" t="s">
        <v>44</v>
      </c>
      <c r="I5" s="2">
        <v>202601</v>
      </c>
      <c r="J5" s="2">
        <v>-25999.9</v>
      </c>
      <c r="K5" s="2" t="s">
        <v>118</v>
      </c>
      <c r="L5" s="2" t="s">
        <v>200</v>
      </c>
      <c r="M5" s="2" t="s">
        <v>204</v>
      </c>
      <c r="N5" s="2" t="s">
        <v>239</v>
      </c>
      <c r="O5" s="2" t="s">
        <v>244</v>
      </c>
      <c r="P5" s="2" t="s">
        <v>244</v>
      </c>
      <c r="Q5" s="2" t="s">
        <v>270</v>
      </c>
      <c r="R5" s="2" t="s">
        <v>239</v>
      </c>
      <c r="S5" s="2" t="s">
        <v>314</v>
      </c>
      <c r="T5" s="2" t="s">
        <v>315</v>
      </c>
      <c r="U5" s="2" t="s">
        <v>319</v>
      </c>
      <c r="V5" s="2">
        <v>1</v>
      </c>
      <c r="W5" s="2">
        <v>1</v>
      </c>
      <c r="X5" s="2" t="s">
        <v>336</v>
      </c>
      <c r="Y5" s="2" t="s">
        <v>204</v>
      </c>
      <c r="Z5" s="2" t="s">
        <v>239</v>
      </c>
      <c r="AA5" s="2" t="s">
        <v>270</v>
      </c>
      <c r="AB5" s="2" t="s">
        <v>239</v>
      </c>
      <c r="AC5" s="2">
        <v>38543</v>
      </c>
      <c r="AD5" s="2" t="s">
        <v>340</v>
      </c>
      <c r="AE5" s="2">
        <f t="shared" si="0"/>
        <v>1</v>
      </c>
      <c r="AF5" s="2">
        <v>202601</v>
      </c>
    </row>
    <row r="6" spans="1:32" hidden="1" x14ac:dyDescent="0.3">
      <c r="A6" s="2">
        <v>89782612618</v>
      </c>
      <c r="B6" s="2">
        <v>1203</v>
      </c>
      <c r="C6" s="2" t="s">
        <v>32</v>
      </c>
      <c r="D6" s="2" t="s">
        <v>33</v>
      </c>
      <c r="E6" s="2" t="s">
        <v>36</v>
      </c>
      <c r="F6" s="2">
        <v>612618</v>
      </c>
      <c r="G6" s="2">
        <v>113245</v>
      </c>
      <c r="H6" s="2" t="s">
        <v>45</v>
      </c>
      <c r="I6" s="2">
        <v>202601</v>
      </c>
      <c r="J6" s="2">
        <v>-64693.35</v>
      </c>
      <c r="K6" s="2" t="s">
        <v>119</v>
      </c>
      <c r="L6" s="2" t="s">
        <v>200</v>
      </c>
      <c r="M6" s="2" t="s">
        <v>205</v>
      </c>
      <c r="N6" s="2" t="s">
        <v>238</v>
      </c>
      <c r="O6" s="2" t="s">
        <v>243</v>
      </c>
      <c r="P6" s="2" t="s">
        <v>255</v>
      </c>
      <c r="Q6" s="2" t="s">
        <v>271</v>
      </c>
      <c r="R6" s="2" t="s">
        <v>303</v>
      </c>
      <c r="S6" s="2" t="s">
        <v>314</v>
      </c>
      <c r="T6" s="2" t="s">
        <v>315</v>
      </c>
      <c r="U6" s="2" t="s">
        <v>320</v>
      </c>
      <c r="V6" s="2">
        <v>1</v>
      </c>
      <c r="W6" s="2">
        <v>1</v>
      </c>
      <c r="X6" s="2" t="s">
        <v>336</v>
      </c>
      <c r="Y6" s="2" t="s">
        <v>205</v>
      </c>
      <c r="Z6" s="2" t="s">
        <v>238</v>
      </c>
      <c r="AA6" s="2" t="s">
        <v>271</v>
      </c>
      <c r="AB6" s="2" t="s">
        <v>303</v>
      </c>
      <c r="AC6" s="2">
        <v>38548</v>
      </c>
      <c r="AD6" s="2" t="s">
        <v>341</v>
      </c>
      <c r="AE6" s="2">
        <f t="shared" si="0"/>
        <v>1</v>
      </c>
      <c r="AF6" s="2">
        <v>202601</v>
      </c>
    </row>
    <row r="7" spans="1:32" hidden="1" x14ac:dyDescent="0.3">
      <c r="A7" s="2">
        <v>89783612620</v>
      </c>
      <c r="B7" s="2">
        <v>1216</v>
      </c>
      <c r="C7" s="2" t="s">
        <v>32</v>
      </c>
      <c r="D7" s="2" t="s">
        <v>33</v>
      </c>
      <c r="E7" s="2" t="s">
        <v>36</v>
      </c>
      <c r="F7" s="2">
        <v>612620</v>
      </c>
      <c r="G7" s="2">
        <v>118599</v>
      </c>
      <c r="H7" s="2" t="s">
        <v>46</v>
      </c>
      <c r="I7" s="2">
        <v>202601</v>
      </c>
      <c r="J7" s="2">
        <v>-1000</v>
      </c>
      <c r="K7" s="2" t="s">
        <v>120</v>
      </c>
      <c r="L7" s="2" t="s">
        <v>200</v>
      </c>
      <c r="M7" s="2" t="s">
        <v>206</v>
      </c>
      <c r="N7" s="2" t="s">
        <v>238</v>
      </c>
      <c r="O7" s="2" t="s">
        <v>245</v>
      </c>
      <c r="P7" s="2" t="s">
        <v>256</v>
      </c>
      <c r="Q7" s="2" t="s">
        <v>272</v>
      </c>
      <c r="R7" s="2" t="s">
        <v>303</v>
      </c>
      <c r="S7" s="2" t="s">
        <v>314</v>
      </c>
      <c r="T7" s="2" t="s">
        <v>315</v>
      </c>
      <c r="U7" s="2" t="s">
        <v>320</v>
      </c>
      <c r="V7" s="2">
        <v>1</v>
      </c>
      <c r="W7" s="2">
        <v>1</v>
      </c>
      <c r="X7" s="2" t="s">
        <v>335</v>
      </c>
      <c r="Y7" s="2" t="s">
        <v>206</v>
      </c>
      <c r="Z7" s="2" t="s">
        <v>238</v>
      </c>
      <c r="AA7" s="2" t="s">
        <v>272</v>
      </c>
      <c r="AB7" s="2" t="s">
        <v>303</v>
      </c>
      <c r="AC7" s="2">
        <v>38553</v>
      </c>
      <c r="AD7" s="2" t="s">
        <v>342</v>
      </c>
      <c r="AE7" s="2">
        <f t="shared" si="0"/>
        <v>1</v>
      </c>
      <c r="AF7" s="2">
        <v>202601</v>
      </c>
    </row>
    <row r="8" spans="1:32" hidden="1" x14ac:dyDescent="0.3">
      <c r="A8" s="2">
        <v>89784612622</v>
      </c>
      <c r="B8" s="2">
        <v>1203</v>
      </c>
      <c r="C8" s="2" t="s">
        <v>32</v>
      </c>
      <c r="D8" s="2" t="s">
        <v>33</v>
      </c>
      <c r="E8" s="2" t="s">
        <v>36</v>
      </c>
      <c r="F8" s="2">
        <v>612622</v>
      </c>
      <c r="G8" s="2">
        <v>118252</v>
      </c>
      <c r="H8" s="2" t="s">
        <v>47</v>
      </c>
      <c r="I8" s="2">
        <v>202601</v>
      </c>
      <c r="J8" s="2">
        <v>-48318.2</v>
      </c>
      <c r="K8" s="2" t="s">
        <v>121</v>
      </c>
      <c r="L8" s="2" t="s">
        <v>200</v>
      </c>
      <c r="M8" s="2" t="s">
        <v>204</v>
      </c>
      <c r="N8" s="2" t="s">
        <v>239</v>
      </c>
      <c r="O8" s="2" t="s">
        <v>244</v>
      </c>
      <c r="P8" s="2" t="s">
        <v>244</v>
      </c>
      <c r="Q8" s="2" t="s">
        <v>270</v>
      </c>
      <c r="R8" s="2" t="s">
        <v>239</v>
      </c>
      <c r="S8" s="2" t="s">
        <v>314</v>
      </c>
      <c r="T8" s="2" t="s">
        <v>315</v>
      </c>
      <c r="U8" s="2" t="s">
        <v>319</v>
      </c>
      <c r="V8" s="2">
        <v>1</v>
      </c>
      <c r="W8" s="2">
        <v>1</v>
      </c>
      <c r="X8" s="2" t="s">
        <v>336</v>
      </c>
      <c r="Y8" s="2" t="s">
        <v>204</v>
      </c>
      <c r="Z8" s="2" t="s">
        <v>239</v>
      </c>
      <c r="AA8" s="2" t="s">
        <v>270</v>
      </c>
      <c r="AB8" s="2" t="s">
        <v>239</v>
      </c>
      <c r="AC8" s="2">
        <v>38554</v>
      </c>
      <c r="AD8" s="2" t="s">
        <v>343</v>
      </c>
      <c r="AE8" s="2">
        <f t="shared" si="0"/>
        <v>1</v>
      </c>
      <c r="AF8" s="2">
        <v>202601</v>
      </c>
    </row>
    <row r="9" spans="1:32" hidden="1" x14ac:dyDescent="0.3">
      <c r="A9" s="2">
        <v>89785612624</v>
      </c>
      <c r="B9" s="2">
        <v>1203</v>
      </c>
      <c r="C9" s="2" t="s">
        <v>32</v>
      </c>
      <c r="D9" s="2" t="s">
        <v>33</v>
      </c>
      <c r="E9" s="2" t="s">
        <v>36</v>
      </c>
      <c r="F9" s="2">
        <v>612624</v>
      </c>
      <c r="G9" s="2">
        <v>118251</v>
      </c>
      <c r="H9" s="2" t="s">
        <v>48</v>
      </c>
      <c r="I9" s="2">
        <v>202601</v>
      </c>
      <c r="J9" s="2">
        <v>-15800</v>
      </c>
      <c r="K9" s="2" t="s">
        <v>122</v>
      </c>
      <c r="L9" s="2" t="s">
        <v>200</v>
      </c>
      <c r="M9" s="2" t="s">
        <v>204</v>
      </c>
      <c r="N9" s="2" t="s">
        <v>239</v>
      </c>
      <c r="O9" s="2" t="s">
        <v>244</v>
      </c>
      <c r="P9" s="2" t="s">
        <v>244</v>
      </c>
      <c r="Q9" s="2" t="s">
        <v>270</v>
      </c>
      <c r="R9" s="2" t="s">
        <v>239</v>
      </c>
      <c r="S9" s="2" t="s">
        <v>314</v>
      </c>
      <c r="T9" s="2" t="s">
        <v>315</v>
      </c>
      <c r="U9" s="2" t="s">
        <v>319</v>
      </c>
      <c r="V9" s="2">
        <v>1</v>
      </c>
      <c r="W9" s="2">
        <v>1</v>
      </c>
      <c r="X9" s="2" t="s">
        <v>336</v>
      </c>
      <c r="Y9" s="2" t="s">
        <v>204</v>
      </c>
      <c r="Z9" s="2" t="s">
        <v>239</v>
      </c>
      <c r="AA9" s="2" t="s">
        <v>270</v>
      </c>
      <c r="AB9" s="2" t="s">
        <v>239</v>
      </c>
      <c r="AC9" s="2">
        <v>38555</v>
      </c>
      <c r="AD9" s="2" t="s">
        <v>344</v>
      </c>
      <c r="AE9" s="2">
        <f t="shared" si="0"/>
        <v>1</v>
      </c>
      <c r="AF9" s="2">
        <v>202601</v>
      </c>
    </row>
    <row r="10" spans="1:32" hidden="1" x14ac:dyDescent="0.3">
      <c r="A10" s="2">
        <v>89786612626</v>
      </c>
      <c r="B10" s="2">
        <v>1201</v>
      </c>
      <c r="C10" s="2" t="s">
        <v>32</v>
      </c>
      <c r="D10" s="2" t="s">
        <v>33</v>
      </c>
      <c r="E10" s="2" t="s">
        <v>36</v>
      </c>
      <c r="F10" s="2">
        <v>612626</v>
      </c>
      <c r="G10" s="2">
        <v>118249</v>
      </c>
      <c r="H10" s="2" t="s">
        <v>49</v>
      </c>
      <c r="I10" s="2">
        <v>202601</v>
      </c>
      <c r="J10" s="2">
        <v>-2799</v>
      </c>
      <c r="K10" s="2" t="s">
        <v>123</v>
      </c>
      <c r="L10" s="2" t="s">
        <v>200</v>
      </c>
      <c r="M10" s="2" t="s">
        <v>204</v>
      </c>
      <c r="N10" s="2" t="s">
        <v>239</v>
      </c>
      <c r="O10" s="2" t="s">
        <v>244</v>
      </c>
      <c r="P10" s="2" t="s">
        <v>244</v>
      </c>
      <c r="Q10" s="2" t="s">
        <v>270</v>
      </c>
      <c r="R10" s="2" t="s">
        <v>239</v>
      </c>
      <c r="S10" s="2" t="s">
        <v>314</v>
      </c>
      <c r="T10" s="2" t="s">
        <v>315</v>
      </c>
      <c r="U10" s="2" t="s">
        <v>319</v>
      </c>
      <c r="V10" s="2">
        <v>1</v>
      </c>
      <c r="W10" s="2">
        <v>1</v>
      </c>
      <c r="X10" s="2" t="s">
        <v>336</v>
      </c>
      <c r="Y10" s="2" t="s">
        <v>204</v>
      </c>
      <c r="Z10" s="2" t="s">
        <v>239</v>
      </c>
      <c r="AA10" s="2" t="s">
        <v>270</v>
      </c>
      <c r="AB10" s="2" t="s">
        <v>239</v>
      </c>
      <c r="AC10" s="2">
        <v>38556</v>
      </c>
      <c r="AD10" s="2" t="s">
        <v>345</v>
      </c>
      <c r="AE10" s="2">
        <f t="shared" si="0"/>
        <v>1</v>
      </c>
      <c r="AF10" s="2">
        <v>202601</v>
      </c>
    </row>
    <row r="11" spans="1:32" hidden="1" x14ac:dyDescent="0.3">
      <c r="A11" s="2">
        <v>89787612628</v>
      </c>
      <c r="B11" s="2">
        <v>1216</v>
      </c>
      <c r="C11" s="2" t="s">
        <v>32</v>
      </c>
      <c r="D11" s="2" t="s">
        <v>33</v>
      </c>
      <c r="E11" s="2" t="s">
        <v>36</v>
      </c>
      <c r="F11" s="2">
        <v>612628</v>
      </c>
      <c r="G11" s="2">
        <v>118225</v>
      </c>
      <c r="H11" s="2" t="s">
        <v>50</v>
      </c>
      <c r="I11" s="2">
        <v>202601</v>
      </c>
      <c r="J11" s="2">
        <v>-5187.4799999999996</v>
      </c>
      <c r="K11" s="2" t="s">
        <v>124</v>
      </c>
      <c r="L11" s="2" t="s">
        <v>200</v>
      </c>
      <c r="M11" s="2" t="s">
        <v>207</v>
      </c>
      <c r="N11" s="2" t="s">
        <v>237</v>
      </c>
      <c r="O11" s="2" t="s">
        <v>246</v>
      </c>
      <c r="P11" s="2" t="s">
        <v>257</v>
      </c>
      <c r="Q11" s="2" t="s">
        <v>273</v>
      </c>
      <c r="R11" s="2" t="s">
        <v>304</v>
      </c>
      <c r="S11" s="2" t="s">
        <v>314</v>
      </c>
      <c r="T11" s="2" t="s">
        <v>315</v>
      </c>
      <c r="U11" s="2" t="s">
        <v>321</v>
      </c>
      <c r="V11" s="2">
        <v>1</v>
      </c>
      <c r="W11" s="2">
        <v>1</v>
      </c>
      <c r="X11" s="2" t="s">
        <v>336</v>
      </c>
      <c r="Y11" s="2" t="s">
        <v>207</v>
      </c>
      <c r="Z11" s="2" t="s">
        <v>237</v>
      </c>
      <c r="AA11" s="2" t="s">
        <v>273</v>
      </c>
      <c r="AB11" s="2" t="s">
        <v>304</v>
      </c>
      <c r="AC11" s="2">
        <v>38560</v>
      </c>
      <c r="AD11" s="2" t="s">
        <v>346</v>
      </c>
      <c r="AE11" s="2">
        <f t="shared" si="0"/>
        <v>1</v>
      </c>
      <c r="AF11" s="2">
        <v>202601</v>
      </c>
    </row>
    <row r="12" spans="1:32" hidden="1" x14ac:dyDescent="0.3">
      <c r="A12" s="2">
        <v>89788612630</v>
      </c>
      <c r="B12" s="2">
        <v>1211</v>
      </c>
      <c r="C12" s="2" t="s">
        <v>32</v>
      </c>
      <c r="D12" s="2" t="s">
        <v>33</v>
      </c>
      <c r="E12" s="2" t="s">
        <v>36</v>
      </c>
      <c r="F12" s="2">
        <v>612630</v>
      </c>
      <c r="G12" s="2">
        <v>118211</v>
      </c>
      <c r="H12" s="2" t="s">
        <v>51</v>
      </c>
      <c r="I12" s="2">
        <v>202601</v>
      </c>
      <c r="J12" s="2">
        <v>-250</v>
      </c>
      <c r="K12" s="2" t="s">
        <v>125</v>
      </c>
      <c r="L12" s="2" t="s">
        <v>200</v>
      </c>
      <c r="M12" s="2" t="s">
        <v>208</v>
      </c>
      <c r="N12" s="2" t="s">
        <v>237</v>
      </c>
      <c r="O12" s="2" t="s">
        <v>247</v>
      </c>
      <c r="P12" s="2" t="s">
        <v>258</v>
      </c>
      <c r="Q12" s="2" t="s">
        <v>274</v>
      </c>
      <c r="R12" s="2" t="s">
        <v>305</v>
      </c>
      <c r="S12" s="2" t="s">
        <v>314</v>
      </c>
      <c r="T12" s="2" t="s">
        <v>315</v>
      </c>
      <c r="U12" s="2" t="s">
        <v>322</v>
      </c>
      <c r="V12" s="2">
        <v>1</v>
      </c>
      <c r="W12" s="2">
        <v>1</v>
      </c>
      <c r="X12" s="2" t="s">
        <v>336</v>
      </c>
      <c r="Y12" s="2" t="s">
        <v>208</v>
      </c>
      <c r="Z12" s="2" t="s">
        <v>237</v>
      </c>
      <c r="AA12" s="2" t="s">
        <v>274</v>
      </c>
      <c r="AB12" s="2" t="s">
        <v>305</v>
      </c>
      <c r="AC12" s="2">
        <v>38561</v>
      </c>
      <c r="AD12" s="2" t="s">
        <v>347</v>
      </c>
      <c r="AE12" s="2">
        <f t="shared" si="0"/>
        <v>1</v>
      </c>
      <c r="AF12" s="2">
        <v>202601</v>
      </c>
    </row>
    <row r="13" spans="1:32" hidden="1" x14ac:dyDescent="0.3">
      <c r="A13" s="2">
        <v>89789612632</v>
      </c>
      <c r="B13" s="2">
        <v>1203</v>
      </c>
      <c r="C13" s="2" t="s">
        <v>32</v>
      </c>
      <c r="D13" s="2" t="s">
        <v>33</v>
      </c>
      <c r="E13" s="2" t="s">
        <v>36</v>
      </c>
      <c r="F13" s="2">
        <v>612632</v>
      </c>
      <c r="G13" s="2">
        <v>118072</v>
      </c>
      <c r="H13" s="2" t="s">
        <v>52</v>
      </c>
      <c r="I13" s="2">
        <v>202601</v>
      </c>
      <c r="J13" s="2">
        <v>-4900</v>
      </c>
      <c r="K13" s="2" t="s">
        <v>126</v>
      </c>
      <c r="L13" s="2" t="s">
        <v>200</v>
      </c>
      <c r="M13" s="2" t="s">
        <v>209</v>
      </c>
      <c r="N13" s="2" t="s">
        <v>237</v>
      </c>
      <c r="O13" s="2" t="s">
        <v>243</v>
      </c>
      <c r="P13" s="2" t="s">
        <v>259</v>
      </c>
      <c r="Q13" s="2" t="s">
        <v>275</v>
      </c>
      <c r="R13" s="2" t="s">
        <v>306</v>
      </c>
      <c r="S13" s="2" t="s">
        <v>314</v>
      </c>
      <c r="T13" s="2" t="s">
        <v>315</v>
      </c>
      <c r="U13" s="2" t="s">
        <v>323</v>
      </c>
      <c r="V13" s="2">
        <v>1</v>
      </c>
      <c r="W13" s="2">
        <v>1</v>
      </c>
      <c r="X13" s="2" t="s">
        <v>336</v>
      </c>
      <c r="Y13" s="2" t="s">
        <v>209</v>
      </c>
      <c r="Z13" s="2" t="s">
        <v>237</v>
      </c>
      <c r="AA13" s="2" t="s">
        <v>275</v>
      </c>
      <c r="AB13" s="2" t="s">
        <v>306</v>
      </c>
      <c r="AC13" s="2">
        <v>38564</v>
      </c>
      <c r="AD13" s="2" t="s">
        <v>348</v>
      </c>
      <c r="AE13" s="2">
        <f t="shared" si="0"/>
        <v>1</v>
      </c>
      <c r="AF13" s="2">
        <v>202601</v>
      </c>
    </row>
    <row r="14" spans="1:32" hidden="1" x14ac:dyDescent="0.3">
      <c r="A14" s="2">
        <v>89790612634</v>
      </c>
      <c r="B14" s="2">
        <v>1216</v>
      </c>
      <c r="C14" s="2" t="s">
        <v>32</v>
      </c>
      <c r="D14" s="2" t="s">
        <v>33</v>
      </c>
      <c r="E14" s="2" t="s">
        <v>36</v>
      </c>
      <c r="F14" s="2">
        <v>612634</v>
      </c>
      <c r="G14" s="2">
        <v>117618</v>
      </c>
      <c r="H14" s="2" t="s">
        <v>53</v>
      </c>
      <c r="I14" s="2">
        <v>202601</v>
      </c>
      <c r="J14" s="2">
        <v>-2469.5100000000002</v>
      </c>
      <c r="K14" s="2" t="s">
        <v>127</v>
      </c>
      <c r="L14" s="2" t="s">
        <v>200</v>
      </c>
      <c r="M14" s="2" t="s">
        <v>203</v>
      </c>
      <c r="N14" s="2" t="s">
        <v>238</v>
      </c>
      <c r="O14" s="2" t="s">
        <v>243</v>
      </c>
      <c r="P14" s="2" t="s">
        <v>254</v>
      </c>
      <c r="Q14" s="2" t="s">
        <v>269</v>
      </c>
      <c r="R14" s="2" t="s">
        <v>302</v>
      </c>
      <c r="S14" s="2" t="s">
        <v>314</v>
      </c>
      <c r="T14" s="2" t="s">
        <v>315</v>
      </c>
      <c r="U14" s="2" t="s">
        <v>318</v>
      </c>
      <c r="V14" s="2">
        <v>1</v>
      </c>
      <c r="W14" s="2">
        <v>1</v>
      </c>
      <c r="X14" s="2" t="s">
        <v>336</v>
      </c>
      <c r="Y14" s="2" t="s">
        <v>203</v>
      </c>
      <c r="Z14" s="2" t="s">
        <v>238</v>
      </c>
      <c r="AA14" s="2" t="s">
        <v>269</v>
      </c>
      <c r="AB14" s="2" t="s">
        <v>302</v>
      </c>
      <c r="AC14" s="2">
        <v>38568</v>
      </c>
      <c r="AD14" s="2" t="s">
        <v>349</v>
      </c>
      <c r="AE14" s="2">
        <f t="shared" si="0"/>
        <v>1</v>
      </c>
      <c r="AF14" s="2">
        <v>202601</v>
      </c>
    </row>
    <row r="15" spans="1:32" hidden="1" x14ac:dyDescent="0.3">
      <c r="A15" s="2">
        <v>89791612636</v>
      </c>
      <c r="B15" s="2">
        <v>1203</v>
      </c>
      <c r="C15" s="2" t="s">
        <v>32</v>
      </c>
      <c r="D15" s="2" t="s">
        <v>33</v>
      </c>
      <c r="E15" s="2" t="s">
        <v>36</v>
      </c>
      <c r="F15" s="2">
        <v>612636</v>
      </c>
      <c r="G15" s="2">
        <v>117602</v>
      </c>
      <c r="H15" s="2" t="s">
        <v>54</v>
      </c>
      <c r="I15" s="2">
        <v>202601</v>
      </c>
      <c r="J15" s="2">
        <v>-3184.96</v>
      </c>
      <c r="K15" s="2" t="s">
        <v>128</v>
      </c>
      <c r="L15" s="2" t="s">
        <v>200</v>
      </c>
      <c r="M15" s="2" t="s">
        <v>210</v>
      </c>
      <c r="N15" s="2" t="s">
        <v>237</v>
      </c>
      <c r="O15" s="2" t="s">
        <v>243</v>
      </c>
      <c r="P15" s="2" t="s">
        <v>259</v>
      </c>
      <c r="Q15" s="2" t="s">
        <v>276</v>
      </c>
      <c r="R15" s="2" t="s">
        <v>305</v>
      </c>
      <c r="S15" s="2" t="s">
        <v>314</v>
      </c>
      <c r="T15" s="2" t="s">
        <v>315</v>
      </c>
      <c r="U15" s="2" t="s">
        <v>324</v>
      </c>
      <c r="V15" s="2">
        <v>1</v>
      </c>
      <c r="W15" s="2">
        <v>1</v>
      </c>
      <c r="X15" s="2" t="s">
        <v>336</v>
      </c>
      <c r="Y15" s="2" t="s">
        <v>210</v>
      </c>
      <c r="Z15" s="2" t="s">
        <v>237</v>
      </c>
      <c r="AA15" s="2" t="s">
        <v>276</v>
      </c>
      <c r="AB15" s="2" t="s">
        <v>305</v>
      </c>
      <c r="AC15" s="2">
        <v>38569</v>
      </c>
      <c r="AD15" s="2" t="s">
        <v>350</v>
      </c>
      <c r="AE15" s="2">
        <f t="shared" si="0"/>
        <v>1</v>
      </c>
      <c r="AF15" s="2">
        <v>202601</v>
      </c>
    </row>
    <row r="16" spans="1:32" hidden="1" x14ac:dyDescent="0.3">
      <c r="A16" s="2">
        <v>89792612638</v>
      </c>
      <c r="B16" s="2">
        <v>1216</v>
      </c>
      <c r="C16" s="2" t="s">
        <v>32</v>
      </c>
      <c r="D16" s="2" t="s">
        <v>33</v>
      </c>
      <c r="E16" s="2" t="s">
        <v>36</v>
      </c>
      <c r="F16" s="2">
        <v>612638</v>
      </c>
      <c r="G16" s="2">
        <v>117555</v>
      </c>
      <c r="H16" s="2" t="s">
        <v>55</v>
      </c>
      <c r="I16" s="2">
        <v>202601</v>
      </c>
      <c r="J16" s="2">
        <v>-4211.42</v>
      </c>
      <c r="K16" s="2" t="s">
        <v>129</v>
      </c>
      <c r="L16" s="2" t="s">
        <v>200</v>
      </c>
      <c r="M16" s="2" t="s">
        <v>203</v>
      </c>
      <c r="N16" s="2" t="s">
        <v>238</v>
      </c>
      <c r="O16" s="2" t="s">
        <v>243</v>
      </c>
      <c r="P16" s="2" t="s">
        <v>254</v>
      </c>
      <c r="Q16" s="2" t="s">
        <v>269</v>
      </c>
      <c r="R16" s="2" t="s">
        <v>302</v>
      </c>
      <c r="S16" s="2" t="s">
        <v>314</v>
      </c>
      <c r="T16" s="2" t="s">
        <v>315</v>
      </c>
      <c r="U16" s="2" t="s">
        <v>318</v>
      </c>
      <c r="V16" s="2">
        <v>1</v>
      </c>
      <c r="W16" s="2">
        <v>1</v>
      </c>
      <c r="X16" s="2" t="s">
        <v>336</v>
      </c>
      <c r="Y16" s="2" t="s">
        <v>203</v>
      </c>
      <c r="Z16" s="2" t="s">
        <v>238</v>
      </c>
      <c r="AA16" s="2" t="s">
        <v>269</v>
      </c>
      <c r="AB16" s="2" t="s">
        <v>302</v>
      </c>
      <c r="AC16" s="2">
        <v>38570</v>
      </c>
      <c r="AD16" s="2" t="s">
        <v>351</v>
      </c>
      <c r="AE16" s="2">
        <f t="shared" si="0"/>
        <v>1</v>
      </c>
      <c r="AF16" s="2">
        <v>202601</v>
      </c>
    </row>
    <row r="17" spans="1:32" hidden="1" x14ac:dyDescent="0.3">
      <c r="A17" s="2">
        <v>89793612640</v>
      </c>
      <c r="B17" s="2">
        <v>1203</v>
      </c>
      <c r="C17" s="2" t="s">
        <v>32</v>
      </c>
      <c r="D17" s="2" t="s">
        <v>33</v>
      </c>
      <c r="E17" s="2" t="s">
        <v>36</v>
      </c>
      <c r="F17" s="2">
        <v>612640</v>
      </c>
      <c r="G17" s="2">
        <v>117229</v>
      </c>
      <c r="H17" s="2" t="s">
        <v>56</v>
      </c>
      <c r="I17" s="2">
        <v>202601</v>
      </c>
      <c r="J17" s="2">
        <v>-3000</v>
      </c>
      <c r="K17" s="2" t="s">
        <v>130</v>
      </c>
      <c r="L17" s="2" t="s">
        <v>200</v>
      </c>
      <c r="M17" s="2" t="s">
        <v>211</v>
      </c>
      <c r="N17" s="2" t="s">
        <v>238</v>
      </c>
      <c r="O17" s="2" t="s">
        <v>245</v>
      </c>
      <c r="P17" s="2" t="s">
        <v>260</v>
      </c>
      <c r="Q17" s="2" t="s">
        <v>277</v>
      </c>
      <c r="R17" s="2" t="s">
        <v>303</v>
      </c>
      <c r="S17" s="2" t="s">
        <v>314</v>
      </c>
      <c r="T17" s="2" t="s">
        <v>315</v>
      </c>
      <c r="U17" s="2" t="s">
        <v>325</v>
      </c>
      <c r="V17" s="2">
        <v>1</v>
      </c>
      <c r="W17" s="2">
        <v>1</v>
      </c>
      <c r="X17" s="2" t="s">
        <v>336</v>
      </c>
      <c r="Y17" s="2" t="s">
        <v>211</v>
      </c>
      <c r="Z17" s="2" t="s">
        <v>238</v>
      </c>
      <c r="AA17" s="2" t="s">
        <v>277</v>
      </c>
      <c r="AB17" s="2" t="s">
        <v>303</v>
      </c>
      <c r="AC17" s="2">
        <v>38572</v>
      </c>
      <c r="AD17" s="2" t="s">
        <v>352</v>
      </c>
      <c r="AE17" s="2">
        <f t="shared" si="0"/>
        <v>1</v>
      </c>
      <c r="AF17" s="2">
        <v>202601</v>
      </c>
    </row>
    <row r="18" spans="1:32" x14ac:dyDescent="0.3">
      <c r="A18" s="2">
        <v>89794612642</v>
      </c>
      <c r="B18" s="2">
        <v>0</v>
      </c>
      <c r="C18" s="2" t="s">
        <v>32</v>
      </c>
      <c r="D18" s="2" t="s">
        <v>33</v>
      </c>
      <c r="E18" s="2" t="s">
        <v>36</v>
      </c>
      <c r="F18" s="2">
        <v>612642</v>
      </c>
      <c r="G18" s="2">
        <v>117117</v>
      </c>
      <c r="H18" s="2" t="s">
        <v>57</v>
      </c>
      <c r="I18" s="2">
        <v>202601</v>
      </c>
      <c r="J18" s="2">
        <v>-1069.97</v>
      </c>
      <c r="K18" s="2" t="s">
        <v>131</v>
      </c>
      <c r="L18" s="2" t="s">
        <v>200</v>
      </c>
      <c r="M18" s="2" t="s">
        <v>212</v>
      </c>
      <c r="N18" s="2" t="s">
        <v>238</v>
      </c>
      <c r="O18" s="2" t="s">
        <v>248</v>
      </c>
      <c r="P18" s="2" t="s">
        <v>248</v>
      </c>
      <c r="Q18" s="2" t="s">
        <v>278</v>
      </c>
      <c r="R18" s="2" t="s">
        <v>307</v>
      </c>
      <c r="S18" s="2" t="s">
        <v>314</v>
      </c>
      <c r="T18" s="2" t="s">
        <v>315</v>
      </c>
      <c r="U18" s="2" t="s">
        <v>318</v>
      </c>
      <c r="V18" s="2">
        <v>1</v>
      </c>
      <c r="W18" s="2">
        <v>1</v>
      </c>
      <c r="X18" s="2" t="s">
        <v>336</v>
      </c>
      <c r="Y18" s="2" t="s">
        <v>212</v>
      </c>
      <c r="Z18" s="2" t="s">
        <v>238</v>
      </c>
      <c r="AA18" s="2" t="s">
        <v>278</v>
      </c>
      <c r="AB18" s="2" t="s">
        <v>307</v>
      </c>
      <c r="AC18" s="2">
        <v>38574</v>
      </c>
      <c r="AD18" s="2" t="s">
        <v>353</v>
      </c>
      <c r="AE18" s="2">
        <f t="shared" si="0"/>
        <v>5</v>
      </c>
      <c r="AF18" s="2">
        <v>202601</v>
      </c>
    </row>
    <row r="19" spans="1:32" x14ac:dyDescent="0.3">
      <c r="A19" s="2">
        <v>89794612643</v>
      </c>
      <c r="B19" s="2">
        <v>0</v>
      </c>
      <c r="C19" s="2" t="s">
        <v>32</v>
      </c>
      <c r="D19" s="2" t="s">
        <v>33</v>
      </c>
      <c r="E19" s="2" t="s">
        <v>36</v>
      </c>
      <c r="F19" s="2">
        <v>612643</v>
      </c>
      <c r="G19" s="2">
        <v>117117</v>
      </c>
      <c r="H19" s="2" t="s">
        <v>57</v>
      </c>
      <c r="I19" s="2">
        <v>202601</v>
      </c>
      <c r="J19" s="2">
        <v>-649.14</v>
      </c>
      <c r="K19" s="2" t="s">
        <v>131</v>
      </c>
      <c r="L19" s="2" t="s">
        <v>200</v>
      </c>
      <c r="M19" s="2" t="s">
        <v>213</v>
      </c>
      <c r="N19" s="2" t="s">
        <v>238</v>
      </c>
      <c r="O19" s="2" t="s">
        <v>248</v>
      </c>
      <c r="P19" s="2" t="s">
        <v>248</v>
      </c>
      <c r="Q19" s="2" t="s">
        <v>279</v>
      </c>
      <c r="R19" s="2" t="s">
        <v>307</v>
      </c>
      <c r="S19" s="2" t="s">
        <v>314</v>
      </c>
      <c r="T19" s="2" t="s">
        <v>315</v>
      </c>
      <c r="U19" s="2" t="s">
        <v>318</v>
      </c>
      <c r="V19" s="2">
        <v>1</v>
      </c>
      <c r="W19" s="2">
        <v>1</v>
      </c>
      <c r="X19" s="2" t="s">
        <v>336</v>
      </c>
      <c r="Y19" s="2" t="s">
        <v>213</v>
      </c>
      <c r="Z19" s="2" t="s">
        <v>238</v>
      </c>
      <c r="AA19" s="2" t="s">
        <v>279</v>
      </c>
      <c r="AB19" s="2" t="s">
        <v>307</v>
      </c>
      <c r="AC19" s="2">
        <v>38574</v>
      </c>
      <c r="AD19" s="2" t="s">
        <v>353</v>
      </c>
      <c r="AE19" s="2">
        <f t="shared" si="0"/>
        <v>5</v>
      </c>
      <c r="AF19" s="2">
        <v>202601</v>
      </c>
    </row>
    <row r="20" spans="1:32" x14ac:dyDescent="0.3">
      <c r="A20" s="2">
        <v>89794612644</v>
      </c>
      <c r="B20" s="2">
        <v>0</v>
      </c>
      <c r="C20" s="2" t="s">
        <v>32</v>
      </c>
      <c r="D20" s="2" t="s">
        <v>33</v>
      </c>
      <c r="E20" s="2" t="s">
        <v>36</v>
      </c>
      <c r="F20" s="2">
        <v>612644</v>
      </c>
      <c r="G20" s="2">
        <v>117117</v>
      </c>
      <c r="H20" s="2" t="s">
        <v>57</v>
      </c>
      <c r="I20" s="2">
        <v>202601</v>
      </c>
      <c r="J20" s="2">
        <v>-261.42</v>
      </c>
      <c r="K20" s="2" t="s">
        <v>131</v>
      </c>
      <c r="L20" s="2" t="s">
        <v>200</v>
      </c>
      <c r="M20" s="2" t="s">
        <v>214</v>
      </c>
      <c r="N20" s="2" t="s">
        <v>238</v>
      </c>
      <c r="O20" s="2" t="s">
        <v>248</v>
      </c>
      <c r="P20" s="2" t="s">
        <v>248</v>
      </c>
      <c r="Q20" s="2" t="s">
        <v>280</v>
      </c>
      <c r="R20" s="2" t="s">
        <v>307</v>
      </c>
      <c r="S20" s="2" t="s">
        <v>314</v>
      </c>
      <c r="T20" s="2" t="s">
        <v>315</v>
      </c>
      <c r="U20" s="2" t="s">
        <v>318</v>
      </c>
      <c r="V20" s="2">
        <v>1</v>
      </c>
      <c r="W20" s="2">
        <v>1</v>
      </c>
      <c r="X20" s="2" t="s">
        <v>336</v>
      </c>
      <c r="Y20" s="2" t="s">
        <v>214</v>
      </c>
      <c r="Z20" s="2" t="s">
        <v>238</v>
      </c>
      <c r="AA20" s="2" t="s">
        <v>280</v>
      </c>
      <c r="AB20" s="2" t="s">
        <v>307</v>
      </c>
      <c r="AC20" s="2">
        <v>38574</v>
      </c>
      <c r="AD20" s="2" t="s">
        <v>353</v>
      </c>
      <c r="AE20" s="2">
        <f t="shared" si="0"/>
        <v>5</v>
      </c>
      <c r="AF20" s="2">
        <v>202601</v>
      </c>
    </row>
    <row r="21" spans="1:32" x14ac:dyDescent="0.3">
      <c r="A21" s="2">
        <v>89794612645</v>
      </c>
      <c r="B21" s="2">
        <v>0</v>
      </c>
      <c r="C21" s="2" t="s">
        <v>32</v>
      </c>
      <c r="D21" s="2" t="s">
        <v>33</v>
      </c>
      <c r="E21" s="2" t="s">
        <v>36</v>
      </c>
      <c r="F21" s="2">
        <v>612645</v>
      </c>
      <c r="G21" s="2">
        <v>117117</v>
      </c>
      <c r="H21" s="2" t="s">
        <v>57</v>
      </c>
      <c r="I21" s="2">
        <v>202601</v>
      </c>
      <c r="J21" s="2">
        <v>-61</v>
      </c>
      <c r="K21" s="2" t="s">
        <v>131</v>
      </c>
      <c r="L21" s="2" t="s">
        <v>200</v>
      </c>
      <c r="M21" s="2" t="s">
        <v>215</v>
      </c>
      <c r="N21" s="2" t="s">
        <v>238</v>
      </c>
      <c r="O21" s="2" t="s">
        <v>247</v>
      </c>
      <c r="P21" s="2" t="s">
        <v>258</v>
      </c>
      <c r="Q21" s="2" t="s">
        <v>281</v>
      </c>
      <c r="R21" s="2" t="s">
        <v>308</v>
      </c>
      <c r="S21" s="2" t="s">
        <v>314</v>
      </c>
      <c r="T21" s="2" t="s">
        <v>315</v>
      </c>
      <c r="U21" s="2" t="s">
        <v>318</v>
      </c>
      <c r="V21" s="2">
        <v>1</v>
      </c>
      <c r="W21" s="2">
        <v>1</v>
      </c>
      <c r="X21" s="2" t="s">
        <v>336</v>
      </c>
      <c r="Y21" s="2" t="s">
        <v>215</v>
      </c>
      <c r="Z21" s="2" t="s">
        <v>238</v>
      </c>
      <c r="AA21" s="2" t="s">
        <v>281</v>
      </c>
      <c r="AB21" s="2" t="s">
        <v>308</v>
      </c>
      <c r="AC21" s="2">
        <v>38574</v>
      </c>
      <c r="AD21" s="2" t="s">
        <v>353</v>
      </c>
      <c r="AE21" s="2">
        <f t="shared" si="0"/>
        <v>5</v>
      </c>
      <c r="AF21" s="2">
        <v>202601</v>
      </c>
    </row>
    <row r="22" spans="1:32" x14ac:dyDescent="0.3">
      <c r="A22" s="2">
        <v>89794612646</v>
      </c>
      <c r="B22" s="2">
        <v>0</v>
      </c>
      <c r="C22" s="2" t="s">
        <v>32</v>
      </c>
      <c r="D22" s="2" t="s">
        <v>33</v>
      </c>
      <c r="E22" s="2" t="s">
        <v>36</v>
      </c>
      <c r="F22" s="2">
        <v>612646</v>
      </c>
      <c r="G22" s="2">
        <v>117117</v>
      </c>
      <c r="H22" s="2" t="s">
        <v>57</v>
      </c>
      <c r="I22" s="2">
        <v>202601</v>
      </c>
      <c r="J22" s="2">
        <v>-13</v>
      </c>
      <c r="K22" s="2" t="s">
        <v>131</v>
      </c>
      <c r="L22" s="2" t="s">
        <v>200</v>
      </c>
      <c r="M22" s="2" t="s">
        <v>216</v>
      </c>
      <c r="N22" s="2" t="s">
        <v>238</v>
      </c>
      <c r="O22" s="2" t="s">
        <v>247</v>
      </c>
      <c r="P22" s="2" t="s">
        <v>258</v>
      </c>
      <c r="Q22" s="2" t="s">
        <v>282</v>
      </c>
      <c r="R22" s="2" t="s">
        <v>309</v>
      </c>
      <c r="S22" s="2" t="s">
        <v>314</v>
      </c>
      <c r="T22" s="2" t="s">
        <v>315</v>
      </c>
      <c r="U22" s="2" t="s">
        <v>318</v>
      </c>
      <c r="V22" s="2">
        <v>1</v>
      </c>
      <c r="W22" s="2">
        <v>1</v>
      </c>
      <c r="X22" s="2" t="s">
        <v>336</v>
      </c>
      <c r="Y22" s="2" t="s">
        <v>216</v>
      </c>
      <c r="Z22" s="2" t="s">
        <v>238</v>
      </c>
      <c r="AA22" s="2" t="s">
        <v>282</v>
      </c>
      <c r="AB22" s="2" t="s">
        <v>309</v>
      </c>
      <c r="AC22" s="2">
        <v>38574</v>
      </c>
      <c r="AD22" s="2" t="s">
        <v>353</v>
      </c>
      <c r="AE22" s="2">
        <f t="shared" si="0"/>
        <v>5</v>
      </c>
      <c r="AF22" s="2">
        <v>202601</v>
      </c>
    </row>
    <row r="23" spans="1:32" hidden="1" x14ac:dyDescent="0.3">
      <c r="A23" s="2">
        <v>89795612648</v>
      </c>
      <c r="B23" s="2">
        <v>1203</v>
      </c>
      <c r="C23" s="2" t="s">
        <v>32</v>
      </c>
      <c r="D23" s="2" t="s">
        <v>33</v>
      </c>
      <c r="E23" s="2" t="s">
        <v>36</v>
      </c>
      <c r="F23" s="2">
        <v>612648</v>
      </c>
      <c r="G23" s="2">
        <v>89041</v>
      </c>
      <c r="H23" s="2" t="s">
        <v>58</v>
      </c>
      <c r="I23" s="2">
        <v>202601</v>
      </c>
      <c r="J23" s="2">
        <v>-7000</v>
      </c>
      <c r="K23" s="2" t="s">
        <v>132</v>
      </c>
      <c r="L23" s="2" t="s">
        <v>200</v>
      </c>
      <c r="M23" s="2" t="s">
        <v>211</v>
      </c>
      <c r="N23" s="2" t="s">
        <v>238</v>
      </c>
      <c r="O23" s="2" t="s">
        <v>245</v>
      </c>
      <c r="P23" s="2" t="s">
        <v>260</v>
      </c>
      <c r="Q23" s="2" t="s">
        <v>277</v>
      </c>
      <c r="R23" s="2" t="s">
        <v>303</v>
      </c>
      <c r="S23" s="2" t="s">
        <v>314</v>
      </c>
      <c r="T23" s="2" t="s">
        <v>315</v>
      </c>
      <c r="U23" s="2" t="s">
        <v>319</v>
      </c>
      <c r="V23" s="2">
        <v>1</v>
      </c>
      <c r="W23" s="2">
        <v>1</v>
      </c>
      <c r="X23" s="2" t="s">
        <v>335</v>
      </c>
      <c r="Y23" s="2" t="s">
        <v>211</v>
      </c>
      <c r="Z23" s="2" t="s">
        <v>238</v>
      </c>
      <c r="AA23" s="2" t="s">
        <v>277</v>
      </c>
      <c r="AB23" s="2" t="s">
        <v>303</v>
      </c>
      <c r="AC23" s="2">
        <v>38578</v>
      </c>
      <c r="AD23" s="2" t="s">
        <v>354</v>
      </c>
      <c r="AE23" s="2">
        <f t="shared" si="0"/>
        <v>1</v>
      </c>
      <c r="AF23" s="2">
        <v>202601</v>
      </c>
    </row>
    <row r="24" spans="1:32" hidden="1" x14ac:dyDescent="0.3">
      <c r="A24" s="2">
        <v>89797612652</v>
      </c>
      <c r="B24" s="2">
        <v>1203</v>
      </c>
      <c r="C24" s="2" t="s">
        <v>32</v>
      </c>
      <c r="D24" s="2" t="s">
        <v>33</v>
      </c>
      <c r="E24" s="2" t="s">
        <v>36</v>
      </c>
      <c r="F24" s="2">
        <v>612652</v>
      </c>
      <c r="G24" s="2">
        <v>118649</v>
      </c>
      <c r="H24" s="2" t="s">
        <v>59</v>
      </c>
      <c r="I24" s="2">
        <v>202601</v>
      </c>
      <c r="J24" s="2">
        <v>-52405.2</v>
      </c>
      <c r="K24" s="2" t="s">
        <v>133</v>
      </c>
      <c r="L24" s="2" t="s">
        <v>200</v>
      </c>
      <c r="M24" s="2" t="s">
        <v>204</v>
      </c>
      <c r="N24" s="2" t="s">
        <v>239</v>
      </c>
      <c r="O24" s="2" t="s">
        <v>244</v>
      </c>
      <c r="P24" s="2" t="s">
        <v>244</v>
      </c>
      <c r="Q24" s="2" t="s">
        <v>270</v>
      </c>
      <c r="R24" s="2" t="s">
        <v>239</v>
      </c>
      <c r="S24" s="2" t="s">
        <v>314</v>
      </c>
      <c r="T24" s="2" t="s">
        <v>315</v>
      </c>
      <c r="U24" s="2" t="s">
        <v>319</v>
      </c>
      <c r="V24" s="2">
        <v>1</v>
      </c>
      <c r="W24" s="2">
        <v>1</v>
      </c>
      <c r="X24" s="2" t="s">
        <v>336</v>
      </c>
      <c r="Y24" s="2" t="s">
        <v>204</v>
      </c>
      <c r="Z24" s="2" t="s">
        <v>239</v>
      </c>
      <c r="AA24" s="2" t="s">
        <v>270</v>
      </c>
      <c r="AB24" s="2" t="s">
        <v>239</v>
      </c>
      <c r="AC24" s="2">
        <v>38580</v>
      </c>
      <c r="AD24" s="2" t="s">
        <v>355</v>
      </c>
      <c r="AE24" s="2">
        <f t="shared" si="0"/>
        <v>1</v>
      </c>
      <c r="AF24" s="2">
        <v>202601</v>
      </c>
    </row>
    <row r="25" spans="1:32" hidden="1" x14ac:dyDescent="0.3">
      <c r="A25" s="2">
        <v>89802612662</v>
      </c>
      <c r="B25" s="2">
        <v>1216</v>
      </c>
      <c r="C25" s="2" t="s">
        <v>32</v>
      </c>
      <c r="D25" s="2" t="s">
        <v>33</v>
      </c>
      <c r="E25" s="2" t="s">
        <v>36</v>
      </c>
      <c r="F25" s="2">
        <v>612662</v>
      </c>
      <c r="G25" s="2">
        <v>118644</v>
      </c>
      <c r="H25" s="2" t="s">
        <v>53</v>
      </c>
      <c r="I25" s="2">
        <v>202601</v>
      </c>
      <c r="J25" s="2">
        <v>-195.23</v>
      </c>
      <c r="K25" s="2" t="s">
        <v>134</v>
      </c>
      <c r="L25" s="2" t="s">
        <v>200</v>
      </c>
      <c r="M25" s="2" t="s">
        <v>203</v>
      </c>
      <c r="N25" s="2" t="s">
        <v>238</v>
      </c>
      <c r="O25" s="2" t="s">
        <v>243</v>
      </c>
      <c r="P25" s="2" t="s">
        <v>254</v>
      </c>
      <c r="Q25" s="2" t="s">
        <v>269</v>
      </c>
      <c r="R25" s="2" t="s">
        <v>302</v>
      </c>
      <c r="S25" s="2" t="s">
        <v>314</v>
      </c>
      <c r="T25" s="2" t="s">
        <v>315</v>
      </c>
      <c r="U25" s="2" t="s">
        <v>318</v>
      </c>
      <c r="V25" s="2">
        <v>1</v>
      </c>
      <c r="W25" s="2">
        <v>1</v>
      </c>
      <c r="X25" s="2" t="s">
        <v>336</v>
      </c>
      <c r="Y25" s="2" t="s">
        <v>203</v>
      </c>
      <c r="Z25" s="2" t="s">
        <v>238</v>
      </c>
      <c r="AA25" s="2" t="s">
        <v>269</v>
      </c>
      <c r="AB25" s="2" t="s">
        <v>302</v>
      </c>
      <c r="AC25" s="2">
        <v>38598</v>
      </c>
      <c r="AD25" s="2" t="s">
        <v>356</v>
      </c>
      <c r="AE25" s="2">
        <f t="shared" si="0"/>
        <v>1</v>
      </c>
      <c r="AF25" s="2">
        <v>202601</v>
      </c>
    </row>
    <row r="26" spans="1:32" hidden="1" x14ac:dyDescent="0.3">
      <c r="A26" s="2">
        <v>89803612664</v>
      </c>
      <c r="B26" s="2">
        <v>1216</v>
      </c>
      <c r="C26" s="2" t="s">
        <v>32</v>
      </c>
      <c r="D26" s="2" t="s">
        <v>33</v>
      </c>
      <c r="E26" s="2" t="s">
        <v>36</v>
      </c>
      <c r="F26" s="2">
        <v>612664</v>
      </c>
      <c r="G26" s="2">
        <v>118653</v>
      </c>
      <c r="H26" s="2" t="s">
        <v>53</v>
      </c>
      <c r="I26" s="2">
        <v>202601</v>
      </c>
      <c r="J26" s="2">
        <v>-130.16</v>
      </c>
      <c r="K26" s="2" t="s">
        <v>135</v>
      </c>
      <c r="L26" s="2" t="s">
        <v>200</v>
      </c>
      <c r="M26" s="2" t="s">
        <v>203</v>
      </c>
      <c r="N26" s="2" t="s">
        <v>238</v>
      </c>
      <c r="O26" s="2" t="s">
        <v>243</v>
      </c>
      <c r="P26" s="2" t="s">
        <v>254</v>
      </c>
      <c r="Q26" s="2" t="s">
        <v>269</v>
      </c>
      <c r="R26" s="2" t="s">
        <v>302</v>
      </c>
      <c r="S26" s="2" t="s">
        <v>314</v>
      </c>
      <c r="T26" s="2" t="s">
        <v>315</v>
      </c>
      <c r="U26" s="2" t="s">
        <v>318</v>
      </c>
      <c r="V26" s="2">
        <v>1</v>
      </c>
      <c r="W26" s="2">
        <v>1</v>
      </c>
      <c r="X26" s="2" t="s">
        <v>336</v>
      </c>
      <c r="Y26" s="2" t="s">
        <v>203</v>
      </c>
      <c r="Z26" s="2" t="s">
        <v>238</v>
      </c>
      <c r="AA26" s="2" t="s">
        <v>269</v>
      </c>
      <c r="AB26" s="2" t="s">
        <v>302</v>
      </c>
      <c r="AC26" s="2">
        <v>38604</v>
      </c>
      <c r="AD26" s="2" t="s">
        <v>357</v>
      </c>
      <c r="AE26" s="2">
        <f t="shared" si="0"/>
        <v>1</v>
      </c>
      <c r="AF26" s="2">
        <v>202601</v>
      </c>
    </row>
    <row r="27" spans="1:32" hidden="1" x14ac:dyDescent="0.3">
      <c r="A27" s="2">
        <v>89804612666</v>
      </c>
      <c r="B27" s="2">
        <v>1203</v>
      </c>
      <c r="C27" s="2" t="s">
        <v>32</v>
      </c>
      <c r="D27" s="2" t="s">
        <v>33</v>
      </c>
      <c r="E27" s="2" t="s">
        <v>36</v>
      </c>
      <c r="F27" s="2">
        <v>612666</v>
      </c>
      <c r="G27" s="2">
        <v>118531</v>
      </c>
      <c r="H27" s="2" t="s">
        <v>60</v>
      </c>
      <c r="I27" s="2">
        <v>202601</v>
      </c>
      <c r="J27" s="2">
        <v>-14000</v>
      </c>
      <c r="K27" s="2" t="s">
        <v>136</v>
      </c>
      <c r="L27" s="2" t="s">
        <v>200</v>
      </c>
      <c r="M27" s="2" t="s">
        <v>205</v>
      </c>
      <c r="N27" s="2" t="s">
        <v>238</v>
      </c>
      <c r="O27" s="2" t="s">
        <v>243</v>
      </c>
      <c r="P27" s="2" t="s">
        <v>255</v>
      </c>
      <c r="Q27" s="2" t="s">
        <v>271</v>
      </c>
      <c r="R27" s="2" t="s">
        <v>303</v>
      </c>
      <c r="S27" s="2" t="s">
        <v>314</v>
      </c>
      <c r="T27" s="2" t="s">
        <v>315</v>
      </c>
      <c r="U27" s="2" t="s">
        <v>326</v>
      </c>
      <c r="V27" s="2">
        <v>1</v>
      </c>
      <c r="W27" s="2">
        <v>1</v>
      </c>
      <c r="X27" s="2" t="s">
        <v>336</v>
      </c>
      <c r="Y27" s="2" t="s">
        <v>205</v>
      </c>
      <c r="Z27" s="2" t="s">
        <v>238</v>
      </c>
      <c r="AA27" s="2" t="s">
        <v>271</v>
      </c>
      <c r="AB27" s="2" t="s">
        <v>303</v>
      </c>
      <c r="AC27" s="2">
        <v>38605</v>
      </c>
      <c r="AD27" s="2" t="s">
        <v>358</v>
      </c>
      <c r="AE27" s="2">
        <f t="shared" si="0"/>
        <v>1</v>
      </c>
      <c r="AF27" s="2">
        <v>202601</v>
      </c>
    </row>
    <row r="28" spans="1:32" hidden="1" x14ac:dyDescent="0.3">
      <c r="A28" s="2">
        <v>89805612668</v>
      </c>
      <c r="B28" s="2">
        <v>1203</v>
      </c>
      <c r="C28" s="2" t="s">
        <v>32</v>
      </c>
      <c r="D28" s="2" t="s">
        <v>33</v>
      </c>
      <c r="E28" s="2" t="s">
        <v>36</v>
      </c>
      <c r="F28" s="2">
        <v>612668</v>
      </c>
      <c r="G28" s="2">
        <v>118525</v>
      </c>
      <c r="H28" s="2" t="s">
        <v>61</v>
      </c>
      <c r="I28" s="2">
        <v>202601</v>
      </c>
      <c r="J28" s="2">
        <v>-17500</v>
      </c>
      <c r="K28" s="2" t="s">
        <v>137</v>
      </c>
      <c r="L28" s="2" t="s">
        <v>200</v>
      </c>
      <c r="M28" s="2" t="s">
        <v>205</v>
      </c>
      <c r="N28" s="2" t="s">
        <v>238</v>
      </c>
      <c r="O28" s="2" t="s">
        <v>243</v>
      </c>
      <c r="P28" s="2" t="s">
        <v>255</v>
      </c>
      <c r="Q28" s="2" t="s">
        <v>271</v>
      </c>
      <c r="R28" s="2" t="s">
        <v>303</v>
      </c>
      <c r="S28" s="2" t="s">
        <v>314</v>
      </c>
      <c r="T28" s="2" t="s">
        <v>315</v>
      </c>
      <c r="U28" s="2" t="s">
        <v>325</v>
      </c>
      <c r="V28" s="2">
        <v>1</v>
      </c>
      <c r="W28" s="2">
        <v>1</v>
      </c>
      <c r="X28" s="2" t="s">
        <v>336</v>
      </c>
      <c r="Y28" s="2" t="s">
        <v>205</v>
      </c>
      <c r="Z28" s="2" t="s">
        <v>238</v>
      </c>
      <c r="AA28" s="2" t="s">
        <v>271</v>
      </c>
      <c r="AB28" s="2" t="s">
        <v>303</v>
      </c>
      <c r="AC28" s="2">
        <v>38606</v>
      </c>
      <c r="AD28" s="2" t="s">
        <v>359</v>
      </c>
      <c r="AE28" s="2">
        <f t="shared" si="0"/>
        <v>1</v>
      </c>
      <c r="AF28" s="2">
        <v>202601</v>
      </c>
    </row>
    <row r="29" spans="1:32" hidden="1" x14ac:dyDescent="0.3">
      <c r="A29" s="2">
        <v>89806612670</v>
      </c>
      <c r="B29" s="2">
        <v>1203</v>
      </c>
      <c r="C29" s="2" t="s">
        <v>32</v>
      </c>
      <c r="D29" s="2" t="s">
        <v>33</v>
      </c>
      <c r="E29" s="2" t="s">
        <v>36</v>
      </c>
      <c r="F29" s="2">
        <v>612670</v>
      </c>
      <c r="G29" s="2">
        <v>118520</v>
      </c>
      <c r="H29" s="2" t="s">
        <v>62</v>
      </c>
      <c r="I29" s="2">
        <v>202601</v>
      </c>
      <c r="J29" s="2">
        <v>-9300</v>
      </c>
      <c r="K29" s="2" t="s">
        <v>138</v>
      </c>
      <c r="L29" s="2" t="s">
        <v>200</v>
      </c>
      <c r="M29" s="2" t="s">
        <v>205</v>
      </c>
      <c r="N29" s="2" t="s">
        <v>238</v>
      </c>
      <c r="O29" s="2" t="s">
        <v>243</v>
      </c>
      <c r="P29" s="2" t="s">
        <v>255</v>
      </c>
      <c r="Q29" s="2" t="s">
        <v>271</v>
      </c>
      <c r="R29" s="2" t="s">
        <v>303</v>
      </c>
      <c r="S29" s="2" t="s">
        <v>314</v>
      </c>
      <c r="T29" s="2" t="s">
        <v>315</v>
      </c>
      <c r="U29" s="2" t="s">
        <v>326</v>
      </c>
      <c r="V29" s="2">
        <v>1</v>
      </c>
      <c r="W29" s="2">
        <v>1</v>
      </c>
      <c r="X29" s="2" t="s">
        <v>336</v>
      </c>
      <c r="Y29" s="2" t="s">
        <v>205</v>
      </c>
      <c r="Z29" s="2" t="s">
        <v>238</v>
      </c>
      <c r="AA29" s="2" t="s">
        <v>271</v>
      </c>
      <c r="AB29" s="2" t="s">
        <v>303</v>
      </c>
      <c r="AC29" s="2">
        <v>38607</v>
      </c>
      <c r="AD29" s="2" t="s">
        <v>360</v>
      </c>
      <c r="AE29" s="2">
        <f t="shared" si="0"/>
        <v>1</v>
      </c>
      <c r="AF29" s="2">
        <v>202601</v>
      </c>
    </row>
    <row r="30" spans="1:32" hidden="1" x14ac:dyDescent="0.3">
      <c r="A30" s="2">
        <v>89807612672</v>
      </c>
      <c r="B30" s="2">
        <v>1203</v>
      </c>
      <c r="C30" s="2" t="s">
        <v>32</v>
      </c>
      <c r="D30" s="2" t="s">
        <v>33</v>
      </c>
      <c r="E30" s="2" t="s">
        <v>36</v>
      </c>
      <c r="F30" s="2">
        <v>612672</v>
      </c>
      <c r="G30" s="2">
        <v>118491</v>
      </c>
      <c r="H30" s="2" t="s">
        <v>63</v>
      </c>
      <c r="I30" s="2">
        <v>202601</v>
      </c>
      <c r="J30" s="2">
        <v>-12000</v>
      </c>
      <c r="K30" s="2" t="s">
        <v>139</v>
      </c>
      <c r="L30" s="2" t="s">
        <v>200</v>
      </c>
      <c r="M30" s="2" t="s">
        <v>204</v>
      </c>
      <c r="N30" s="2" t="s">
        <v>239</v>
      </c>
      <c r="O30" s="2" t="s">
        <v>244</v>
      </c>
      <c r="P30" s="2" t="s">
        <v>244</v>
      </c>
      <c r="Q30" s="2" t="s">
        <v>270</v>
      </c>
      <c r="R30" s="2" t="s">
        <v>239</v>
      </c>
      <c r="S30" s="2" t="s">
        <v>314</v>
      </c>
      <c r="T30" s="2" t="s">
        <v>315</v>
      </c>
      <c r="U30" s="2" t="s">
        <v>319</v>
      </c>
      <c r="V30" s="2">
        <v>1</v>
      </c>
      <c r="W30" s="2">
        <v>1</v>
      </c>
      <c r="X30" s="2" t="s">
        <v>336</v>
      </c>
      <c r="Y30" s="2" t="s">
        <v>204</v>
      </c>
      <c r="Z30" s="2" t="s">
        <v>239</v>
      </c>
      <c r="AA30" s="2" t="s">
        <v>270</v>
      </c>
      <c r="AB30" s="2" t="s">
        <v>239</v>
      </c>
      <c r="AC30" s="2">
        <v>38608</v>
      </c>
      <c r="AD30" s="2" t="s">
        <v>361</v>
      </c>
      <c r="AE30" s="2">
        <f t="shared" si="0"/>
        <v>1</v>
      </c>
      <c r="AF30" s="2">
        <v>202601</v>
      </c>
    </row>
    <row r="31" spans="1:32" hidden="1" x14ac:dyDescent="0.3">
      <c r="A31" s="2">
        <v>89808612674</v>
      </c>
      <c r="B31" s="2">
        <v>1203</v>
      </c>
      <c r="C31" s="2" t="s">
        <v>32</v>
      </c>
      <c r="D31" s="2" t="s">
        <v>33</v>
      </c>
      <c r="E31" s="2" t="s">
        <v>36</v>
      </c>
      <c r="F31" s="2">
        <v>612674</v>
      </c>
      <c r="G31" s="2">
        <v>118481</v>
      </c>
      <c r="H31" s="2" t="s">
        <v>64</v>
      </c>
      <c r="I31" s="2">
        <v>202601</v>
      </c>
      <c r="J31" s="2">
        <v>-4500</v>
      </c>
      <c r="K31" s="2" t="s">
        <v>140</v>
      </c>
      <c r="L31" s="2" t="s">
        <v>200</v>
      </c>
      <c r="M31" s="2" t="s">
        <v>205</v>
      </c>
      <c r="N31" s="2" t="s">
        <v>238</v>
      </c>
      <c r="O31" s="2" t="s">
        <v>243</v>
      </c>
      <c r="P31" s="2" t="s">
        <v>255</v>
      </c>
      <c r="Q31" s="2" t="s">
        <v>271</v>
      </c>
      <c r="R31" s="2" t="s">
        <v>303</v>
      </c>
      <c r="S31" s="2" t="s">
        <v>314</v>
      </c>
      <c r="T31" s="2" t="s">
        <v>315</v>
      </c>
      <c r="U31" s="2" t="s">
        <v>323</v>
      </c>
      <c r="V31" s="2">
        <v>1</v>
      </c>
      <c r="W31" s="2">
        <v>1</v>
      </c>
      <c r="X31" s="2" t="s">
        <v>336</v>
      </c>
      <c r="Y31" s="2" t="s">
        <v>205</v>
      </c>
      <c r="Z31" s="2" t="s">
        <v>238</v>
      </c>
      <c r="AA31" s="2" t="s">
        <v>271</v>
      </c>
      <c r="AB31" s="2" t="s">
        <v>303</v>
      </c>
      <c r="AC31" s="2">
        <v>38610</v>
      </c>
      <c r="AD31" s="2" t="s">
        <v>362</v>
      </c>
      <c r="AE31" s="2">
        <f t="shared" si="0"/>
        <v>1</v>
      </c>
      <c r="AF31" s="2">
        <v>202601</v>
      </c>
    </row>
    <row r="32" spans="1:32" hidden="1" x14ac:dyDescent="0.3">
      <c r="A32" s="2">
        <v>89809612676</v>
      </c>
      <c r="B32" s="2">
        <v>1203</v>
      </c>
      <c r="C32" s="2" t="s">
        <v>32</v>
      </c>
      <c r="D32" s="2" t="s">
        <v>33</v>
      </c>
      <c r="E32" s="2" t="s">
        <v>36</v>
      </c>
      <c r="F32" s="2">
        <v>612676</v>
      </c>
      <c r="G32" s="2">
        <v>118477</v>
      </c>
      <c r="H32" s="2" t="s">
        <v>65</v>
      </c>
      <c r="I32" s="2">
        <v>202601</v>
      </c>
      <c r="J32" s="2">
        <v>-600</v>
      </c>
      <c r="K32" s="2" t="s">
        <v>141</v>
      </c>
      <c r="L32" s="2" t="s">
        <v>200</v>
      </c>
      <c r="M32" s="2" t="s">
        <v>201</v>
      </c>
      <c r="N32" s="2" t="s">
        <v>237</v>
      </c>
      <c r="O32" s="2" t="s">
        <v>241</v>
      </c>
      <c r="P32" s="2" t="s">
        <v>252</v>
      </c>
      <c r="Q32" s="2" t="s">
        <v>267</v>
      </c>
      <c r="R32" s="2" t="s">
        <v>267</v>
      </c>
      <c r="S32" s="2" t="s">
        <v>314</v>
      </c>
      <c r="T32" s="2" t="s">
        <v>315</v>
      </c>
      <c r="U32" s="2" t="s">
        <v>323</v>
      </c>
      <c r="V32" s="2">
        <v>1</v>
      </c>
      <c r="W32" s="2">
        <v>1</v>
      </c>
      <c r="X32" s="2" t="s">
        <v>336</v>
      </c>
      <c r="Y32" s="2" t="s">
        <v>201</v>
      </c>
      <c r="Z32" s="2" t="s">
        <v>237</v>
      </c>
      <c r="AA32" s="2" t="s">
        <v>267</v>
      </c>
      <c r="AB32" s="2" t="s">
        <v>267</v>
      </c>
      <c r="AC32" s="2">
        <v>38611</v>
      </c>
      <c r="AD32" s="2" t="s">
        <v>363</v>
      </c>
      <c r="AE32" s="2">
        <f t="shared" si="0"/>
        <v>1</v>
      </c>
      <c r="AF32" s="2">
        <v>202601</v>
      </c>
    </row>
    <row r="33" spans="1:32" hidden="1" x14ac:dyDescent="0.3">
      <c r="A33" s="2">
        <v>89810612678</v>
      </c>
      <c r="B33" s="2">
        <v>1203</v>
      </c>
      <c r="C33" s="2" t="s">
        <v>32</v>
      </c>
      <c r="D33" s="2" t="s">
        <v>33</v>
      </c>
      <c r="E33" s="2" t="s">
        <v>36</v>
      </c>
      <c r="F33" s="2">
        <v>612678</v>
      </c>
      <c r="G33" s="2">
        <v>118475</v>
      </c>
      <c r="H33" s="2" t="s">
        <v>66</v>
      </c>
      <c r="I33" s="2">
        <v>202601</v>
      </c>
      <c r="J33" s="2">
        <v>-4200</v>
      </c>
      <c r="K33" s="2" t="s">
        <v>142</v>
      </c>
      <c r="L33" s="2" t="s">
        <v>200</v>
      </c>
      <c r="M33" s="2" t="s">
        <v>205</v>
      </c>
      <c r="N33" s="2" t="s">
        <v>238</v>
      </c>
      <c r="O33" s="2" t="s">
        <v>243</v>
      </c>
      <c r="P33" s="2" t="s">
        <v>255</v>
      </c>
      <c r="Q33" s="2" t="s">
        <v>271</v>
      </c>
      <c r="R33" s="2" t="s">
        <v>303</v>
      </c>
      <c r="S33" s="2" t="s">
        <v>314</v>
      </c>
      <c r="T33" s="2" t="s">
        <v>315</v>
      </c>
      <c r="U33" s="2" t="s">
        <v>323</v>
      </c>
      <c r="V33" s="2">
        <v>1</v>
      </c>
      <c r="W33" s="2">
        <v>1</v>
      </c>
      <c r="X33" s="2" t="s">
        <v>336</v>
      </c>
      <c r="Y33" s="2" t="s">
        <v>205</v>
      </c>
      <c r="Z33" s="2" t="s">
        <v>238</v>
      </c>
      <c r="AA33" s="2" t="s">
        <v>271</v>
      </c>
      <c r="AB33" s="2" t="s">
        <v>303</v>
      </c>
      <c r="AC33" s="2">
        <v>38612</v>
      </c>
      <c r="AD33" s="2" t="s">
        <v>364</v>
      </c>
      <c r="AE33" s="2">
        <f t="shared" si="0"/>
        <v>1</v>
      </c>
      <c r="AF33" s="2">
        <v>202601</v>
      </c>
    </row>
    <row r="34" spans="1:32" hidden="1" x14ac:dyDescent="0.3">
      <c r="A34" s="2">
        <v>89811612680</v>
      </c>
      <c r="B34" s="2">
        <v>1203</v>
      </c>
      <c r="C34" s="2" t="s">
        <v>32</v>
      </c>
      <c r="D34" s="2" t="s">
        <v>33</v>
      </c>
      <c r="E34" s="2" t="s">
        <v>36</v>
      </c>
      <c r="F34" s="2">
        <v>612680</v>
      </c>
      <c r="G34" s="2">
        <v>118410</v>
      </c>
      <c r="H34" s="2" t="s">
        <v>67</v>
      </c>
      <c r="I34" s="2">
        <v>202601</v>
      </c>
      <c r="J34" s="2">
        <v>-6400</v>
      </c>
      <c r="K34" s="2" t="s">
        <v>143</v>
      </c>
      <c r="L34" s="2" t="s">
        <v>200</v>
      </c>
      <c r="M34" s="2" t="s">
        <v>205</v>
      </c>
      <c r="N34" s="2" t="s">
        <v>238</v>
      </c>
      <c r="O34" s="2" t="s">
        <v>243</v>
      </c>
      <c r="P34" s="2" t="s">
        <v>255</v>
      </c>
      <c r="Q34" s="2" t="s">
        <v>271</v>
      </c>
      <c r="R34" s="2" t="s">
        <v>303</v>
      </c>
      <c r="S34" s="2" t="s">
        <v>314</v>
      </c>
      <c r="T34" s="2" t="s">
        <v>315</v>
      </c>
      <c r="U34" s="2" t="s">
        <v>326</v>
      </c>
      <c r="V34" s="2">
        <v>1</v>
      </c>
      <c r="W34" s="2">
        <v>1</v>
      </c>
      <c r="X34" s="2" t="s">
        <v>336</v>
      </c>
      <c r="Y34" s="2" t="s">
        <v>205</v>
      </c>
      <c r="Z34" s="2" t="s">
        <v>238</v>
      </c>
      <c r="AA34" s="2" t="s">
        <v>271</v>
      </c>
      <c r="AB34" s="2" t="s">
        <v>303</v>
      </c>
      <c r="AC34" s="2">
        <v>38613</v>
      </c>
      <c r="AD34" s="2" t="s">
        <v>365</v>
      </c>
      <c r="AE34" s="2">
        <f t="shared" si="0"/>
        <v>1</v>
      </c>
      <c r="AF34" s="2">
        <v>202601</v>
      </c>
    </row>
    <row r="35" spans="1:32" hidden="1" x14ac:dyDescent="0.3">
      <c r="A35" s="2">
        <v>89812612682</v>
      </c>
      <c r="B35" s="2">
        <v>1203</v>
      </c>
      <c r="C35" s="2" t="s">
        <v>32</v>
      </c>
      <c r="D35" s="2" t="s">
        <v>33</v>
      </c>
      <c r="E35" s="2" t="s">
        <v>36</v>
      </c>
      <c r="F35" s="2">
        <v>612682</v>
      </c>
      <c r="G35" s="2">
        <v>118404</v>
      </c>
      <c r="H35" s="2" t="s">
        <v>68</v>
      </c>
      <c r="I35" s="2">
        <v>202601</v>
      </c>
      <c r="J35" s="2">
        <v>-15000</v>
      </c>
      <c r="K35" s="2" t="s">
        <v>144</v>
      </c>
      <c r="L35" s="2" t="s">
        <v>200</v>
      </c>
      <c r="M35" s="2" t="s">
        <v>205</v>
      </c>
      <c r="N35" s="2" t="s">
        <v>238</v>
      </c>
      <c r="O35" s="2" t="s">
        <v>243</v>
      </c>
      <c r="P35" s="2" t="s">
        <v>255</v>
      </c>
      <c r="Q35" s="2" t="s">
        <v>271</v>
      </c>
      <c r="R35" s="2" t="s">
        <v>303</v>
      </c>
      <c r="S35" s="2" t="s">
        <v>314</v>
      </c>
      <c r="T35" s="2" t="s">
        <v>315</v>
      </c>
      <c r="U35" s="2" t="s">
        <v>327</v>
      </c>
      <c r="V35" s="2">
        <v>1</v>
      </c>
      <c r="W35" s="2">
        <v>1</v>
      </c>
      <c r="X35" s="2" t="s">
        <v>336</v>
      </c>
      <c r="Y35" s="2" t="s">
        <v>205</v>
      </c>
      <c r="Z35" s="2" t="s">
        <v>238</v>
      </c>
      <c r="AA35" s="2" t="s">
        <v>271</v>
      </c>
      <c r="AB35" s="2" t="s">
        <v>303</v>
      </c>
      <c r="AC35" s="2">
        <v>38615</v>
      </c>
      <c r="AD35" s="2" t="s">
        <v>366</v>
      </c>
      <c r="AE35" s="2">
        <f t="shared" si="0"/>
        <v>1</v>
      </c>
      <c r="AF35" s="2">
        <v>202601</v>
      </c>
    </row>
    <row r="36" spans="1:32" hidden="1" x14ac:dyDescent="0.3">
      <c r="A36" s="2">
        <v>89813612684</v>
      </c>
      <c r="B36" s="2">
        <v>1203</v>
      </c>
      <c r="C36" s="2" t="s">
        <v>32</v>
      </c>
      <c r="D36" s="2" t="s">
        <v>33</v>
      </c>
      <c r="E36" s="2" t="s">
        <v>36</v>
      </c>
      <c r="F36" s="2">
        <v>612684</v>
      </c>
      <c r="G36" s="2">
        <v>118367</v>
      </c>
      <c r="H36" s="2" t="s">
        <v>69</v>
      </c>
      <c r="I36" s="2">
        <v>202601</v>
      </c>
      <c r="J36" s="2">
        <v>-12000</v>
      </c>
      <c r="K36" s="2" t="s">
        <v>145</v>
      </c>
      <c r="L36" s="2" t="s">
        <v>200</v>
      </c>
      <c r="M36" s="2" t="s">
        <v>205</v>
      </c>
      <c r="N36" s="2" t="s">
        <v>238</v>
      </c>
      <c r="O36" s="2" t="s">
        <v>243</v>
      </c>
      <c r="P36" s="2" t="s">
        <v>255</v>
      </c>
      <c r="Q36" s="2" t="s">
        <v>271</v>
      </c>
      <c r="R36" s="2" t="s">
        <v>303</v>
      </c>
      <c r="S36" s="2" t="s">
        <v>314</v>
      </c>
      <c r="T36" s="2" t="s">
        <v>315</v>
      </c>
      <c r="U36" s="2" t="s">
        <v>327</v>
      </c>
      <c r="V36" s="2">
        <v>1</v>
      </c>
      <c r="W36" s="2">
        <v>1</v>
      </c>
      <c r="X36" s="2" t="s">
        <v>336</v>
      </c>
      <c r="Y36" s="2" t="s">
        <v>205</v>
      </c>
      <c r="Z36" s="2" t="s">
        <v>238</v>
      </c>
      <c r="AA36" s="2" t="s">
        <v>271</v>
      </c>
      <c r="AB36" s="2" t="s">
        <v>303</v>
      </c>
      <c r="AC36" s="2">
        <v>38617</v>
      </c>
      <c r="AD36" s="2" t="s">
        <v>367</v>
      </c>
      <c r="AE36" s="2">
        <f t="shared" si="0"/>
        <v>1</v>
      </c>
      <c r="AF36" s="2">
        <v>202601</v>
      </c>
    </row>
    <row r="37" spans="1:32" hidden="1" x14ac:dyDescent="0.3">
      <c r="A37" s="2">
        <v>89814612686</v>
      </c>
      <c r="B37" s="2">
        <v>1203</v>
      </c>
      <c r="C37" s="2" t="s">
        <v>32</v>
      </c>
      <c r="D37" s="2" t="s">
        <v>33</v>
      </c>
      <c r="E37" s="2" t="s">
        <v>36</v>
      </c>
      <c r="F37" s="2">
        <v>612686</v>
      </c>
      <c r="G37" s="2">
        <v>118356</v>
      </c>
      <c r="H37" s="2" t="s">
        <v>70</v>
      </c>
      <c r="I37" s="2">
        <v>202601</v>
      </c>
      <c r="J37" s="2">
        <v>-11016.67</v>
      </c>
      <c r="K37" s="2" t="s">
        <v>146</v>
      </c>
      <c r="L37" s="2" t="s">
        <v>200</v>
      </c>
      <c r="M37" s="2" t="s">
        <v>205</v>
      </c>
      <c r="N37" s="2" t="s">
        <v>238</v>
      </c>
      <c r="O37" s="2" t="s">
        <v>243</v>
      </c>
      <c r="P37" s="2" t="s">
        <v>255</v>
      </c>
      <c r="Q37" s="2" t="s">
        <v>271</v>
      </c>
      <c r="R37" s="2" t="s">
        <v>303</v>
      </c>
      <c r="S37" s="2" t="s">
        <v>314</v>
      </c>
      <c r="T37" s="2" t="s">
        <v>315</v>
      </c>
      <c r="U37" s="2" t="s">
        <v>326</v>
      </c>
      <c r="V37" s="2">
        <v>1</v>
      </c>
      <c r="W37" s="2">
        <v>1</v>
      </c>
      <c r="X37" s="2" t="s">
        <v>336</v>
      </c>
      <c r="Y37" s="2" t="s">
        <v>205</v>
      </c>
      <c r="Z37" s="2" t="s">
        <v>238</v>
      </c>
      <c r="AA37" s="2" t="s">
        <v>271</v>
      </c>
      <c r="AB37" s="2" t="s">
        <v>303</v>
      </c>
      <c r="AC37" s="2">
        <v>38618</v>
      </c>
      <c r="AD37" s="2" t="s">
        <v>368</v>
      </c>
      <c r="AE37" s="2">
        <f t="shared" si="0"/>
        <v>1</v>
      </c>
      <c r="AF37" s="2">
        <v>202601</v>
      </c>
    </row>
    <row r="38" spans="1:32" hidden="1" x14ac:dyDescent="0.3">
      <c r="A38" s="2">
        <v>89815612688</v>
      </c>
      <c r="B38" s="2">
        <v>1203</v>
      </c>
      <c r="C38" s="2" t="s">
        <v>32</v>
      </c>
      <c r="D38" s="2" t="s">
        <v>33</v>
      </c>
      <c r="E38" s="2" t="s">
        <v>36</v>
      </c>
      <c r="F38" s="2">
        <v>612688</v>
      </c>
      <c r="G38" s="2">
        <v>118343</v>
      </c>
      <c r="H38" s="2" t="s">
        <v>71</v>
      </c>
      <c r="I38" s="2">
        <v>202601</v>
      </c>
      <c r="J38" s="2">
        <v>-15000</v>
      </c>
      <c r="K38" s="2" t="s">
        <v>147</v>
      </c>
      <c r="L38" s="2" t="s">
        <v>200</v>
      </c>
      <c r="M38" s="2" t="s">
        <v>205</v>
      </c>
      <c r="N38" s="2" t="s">
        <v>238</v>
      </c>
      <c r="O38" s="2" t="s">
        <v>243</v>
      </c>
      <c r="P38" s="2" t="s">
        <v>255</v>
      </c>
      <c r="Q38" s="2" t="s">
        <v>271</v>
      </c>
      <c r="R38" s="2" t="s">
        <v>303</v>
      </c>
      <c r="S38" s="2" t="s">
        <v>314</v>
      </c>
      <c r="T38" s="2" t="s">
        <v>315</v>
      </c>
      <c r="U38" s="2" t="s">
        <v>326</v>
      </c>
      <c r="V38" s="2">
        <v>1</v>
      </c>
      <c r="W38" s="2">
        <v>1</v>
      </c>
      <c r="X38" s="2" t="s">
        <v>336</v>
      </c>
      <c r="Y38" s="2" t="s">
        <v>205</v>
      </c>
      <c r="Z38" s="2" t="s">
        <v>238</v>
      </c>
      <c r="AA38" s="2" t="s">
        <v>271</v>
      </c>
      <c r="AB38" s="2" t="s">
        <v>303</v>
      </c>
      <c r="AC38" s="2">
        <v>38620</v>
      </c>
      <c r="AD38" s="2" t="s">
        <v>369</v>
      </c>
      <c r="AE38" s="2">
        <f t="shared" si="0"/>
        <v>1</v>
      </c>
      <c r="AF38" s="2">
        <v>202601</v>
      </c>
    </row>
    <row r="39" spans="1:32" hidden="1" x14ac:dyDescent="0.3">
      <c r="A39" s="2">
        <v>89816612690</v>
      </c>
      <c r="B39" s="2">
        <v>1203</v>
      </c>
      <c r="C39" s="2" t="s">
        <v>32</v>
      </c>
      <c r="D39" s="2" t="s">
        <v>33</v>
      </c>
      <c r="E39" s="2" t="s">
        <v>36</v>
      </c>
      <c r="F39" s="2">
        <v>612690</v>
      </c>
      <c r="G39" s="2">
        <v>118338</v>
      </c>
      <c r="H39" s="2" t="s">
        <v>72</v>
      </c>
      <c r="I39" s="2">
        <v>202601</v>
      </c>
      <c r="J39" s="2">
        <v>-36400</v>
      </c>
      <c r="K39" s="2" t="s">
        <v>148</v>
      </c>
      <c r="L39" s="2" t="s">
        <v>200</v>
      </c>
      <c r="M39" s="2" t="s">
        <v>205</v>
      </c>
      <c r="N39" s="2" t="s">
        <v>238</v>
      </c>
      <c r="O39" s="2" t="s">
        <v>243</v>
      </c>
      <c r="P39" s="2" t="s">
        <v>255</v>
      </c>
      <c r="Q39" s="2" t="s">
        <v>271</v>
      </c>
      <c r="R39" s="2" t="s">
        <v>303</v>
      </c>
      <c r="S39" s="2" t="s">
        <v>314</v>
      </c>
      <c r="T39" s="2" t="s">
        <v>315</v>
      </c>
      <c r="U39" s="2" t="s">
        <v>323</v>
      </c>
      <c r="V39" s="2">
        <v>1</v>
      </c>
      <c r="W39" s="2">
        <v>1</v>
      </c>
      <c r="X39" s="2" t="s">
        <v>336</v>
      </c>
      <c r="Y39" s="2" t="s">
        <v>205</v>
      </c>
      <c r="Z39" s="2" t="s">
        <v>238</v>
      </c>
      <c r="AA39" s="2" t="s">
        <v>271</v>
      </c>
      <c r="AB39" s="2" t="s">
        <v>303</v>
      </c>
      <c r="AC39" s="2">
        <v>38623</v>
      </c>
      <c r="AD39" s="2" t="s">
        <v>370</v>
      </c>
      <c r="AE39" s="2">
        <f t="shared" si="0"/>
        <v>1</v>
      </c>
      <c r="AF39" s="2">
        <v>202601</v>
      </c>
    </row>
    <row r="40" spans="1:32" hidden="1" x14ac:dyDescent="0.3">
      <c r="A40" s="2">
        <v>89817612692</v>
      </c>
      <c r="B40" s="2">
        <v>1203</v>
      </c>
      <c r="C40" s="2" t="s">
        <v>32</v>
      </c>
      <c r="D40" s="2" t="s">
        <v>33</v>
      </c>
      <c r="E40" s="2" t="s">
        <v>36</v>
      </c>
      <c r="F40" s="2">
        <v>612692</v>
      </c>
      <c r="G40" s="2">
        <v>118331</v>
      </c>
      <c r="H40" s="2" t="s">
        <v>73</v>
      </c>
      <c r="I40" s="2">
        <v>202601</v>
      </c>
      <c r="J40" s="2">
        <v>-19000</v>
      </c>
      <c r="K40" s="2" t="s">
        <v>149</v>
      </c>
      <c r="L40" s="2" t="s">
        <v>200</v>
      </c>
      <c r="M40" s="2" t="s">
        <v>205</v>
      </c>
      <c r="N40" s="2" t="s">
        <v>238</v>
      </c>
      <c r="O40" s="2" t="s">
        <v>243</v>
      </c>
      <c r="P40" s="2" t="s">
        <v>255</v>
      </c>
      <c r="Q40" s="2" t="s">
        <v>271</v>
      </c>
      <c r="R40" s="2" t="s">
        <v>303</v>
      </c>
      <c r="S40" s="2" t="s">
        <v>314</v>
      </c>
      <c r="T40" s="2" t="s">
        <v>315</v>
      </c>
      <c r="U40" s="2" t="s">
        <v>326</v>
      </c>
      <c r="V40" s="2">
        <v>1</v>
      </c>
      <c r="W40" s="2">
        <v>1</v>
      </c>
      <c r="X40" s="2" t="s">
        <v>336</v>
      </c>
      <c r="Y40" s="2" t="s">
        <v>205</v>
      </c>
      <c r="Z40" s="2" t="s">
        <v>238</v>
      </c>
      <c r="AA40" s="2" t="s">
        <v>271</v>
      </c>
      <c r="AB40" s="2" t="s">
        <v>303</v>
      </c>
      <c r="AC40" s="2">
        <v>38627</v>
      </c>
      <c r="AD40" s="2" t="s">
        <v>371</v>
      </c>
      <c r="AE40" s="2">
        <f t="shared" si="0"/>
        <v>1</v>
      </c>
      <c r="AF40" s="2">
        <v>202601</v>
      </c>
    </row>
    <row r="41" spans="1:32" hidden="1" x14ac:dyDescent="0.3">
      <c r="A41" s="2">
        <v>89818612694</v>
      </c>
      <c r="B41" s="2">
        <v>1207</v>
      </c>
      <c r="C41" s="2" t="s">
        <v>32</v>
      </c>
      <c r="D41" s="2" t="s">
        <v>33</v>
      </c>
      <c r="E41" s="2" t="s">
        <v>36</v>
      </c>
      <c r="F41" s="2">
        <v>612694</v>
      </c>
      <c r="G41" s="2">
        <v>117733</v>
      </c>
      <c r="H41" s="2" t="s">
        <v>74</v>
      </c>
      <c r="I41" s="2">
        <v>202601</v>
      </c>
      <c r="J41" s="2">
        <v>-210.79</v>
      </c>
      <c r="K41" s="2" t="s">
        <v>150</v>
      </c>
      <c r="L41" s="2" t="s">
        <v>200</v>
      </c>
      <c r="M41" s="2" t="s">
        <v>217</v>
      </c>
      <c r="N41" s="2" t="s">
        <v>238</v>
      </c>
      <c r="O41" s="2" t="s">
        <v>243</v>
      </c>
      <c r="P41" s="2" t="s">
        <v>254</v>
      </c>
      <c r="Q41" s="2" t="s">
        <v>283</v>
      </c>
      <c r="R41" s="2" t="s">
        <v>302</v>
      </c>
      <c r="S41" s="2" t="s">
        <v>314</v>
      </c>
      <c r="T41" s="2" t="s">
        <v>315</v>
      </c>
      <c r="U41" s="2" t="s">
        <v>323</v>
      </c>
      <c r="V41" s="2">
        <v>1</v>
      </c>
      <c r="W41" s="2">
        <v>1</v>
      </c>
      <c r="X41" s="2" t="s">
        <v>336</v>
      </c>
      <c r="Y41" s="2" t="s">
        <v>217</v>
      </c>
      <c r="Z41" s="2" t="s">
        <v>238</v>
      </c>
      <c r="AA41" s="2" t="s">
        <v>283</v>
      </c>
      <c r="AB41" s="2" t="s">
        <v>302</v>
      </c>
      <c r="AC41" s="2">
        <v>38631</v>
      </c>
      <c r="AD41" s="2" t="s">
        <v>372</v>
      </c>
      <c r="AE41" s="2">
        <f t="shared" si="0"/>
        <v>1</v>
      </c>
      <c r="AF41" s="2">
        <v>202601</v>
      </c>
    </row>
    <row r="42" spans="1:32" hidden="1" x14ac:dyDescent="0.3">
      <c r="A42" s="2">
        <v>89819612696</v>
      </c>
      <c r="B42" s="2">
        <v>1201</v>
      </c>
      <c r="C42" s="2" t="s">
        <v>32</v>
      </c>
      <c r="D42" s="2" t="s">
        <v>33</v>
      </c>
      <c r="E42" s="2" t="s">
        <v>36</v>
      </c>
      <c r="F42" s="2">
        <v>612696</v>
      </c>
      <c r="G42" s="2">
        <v>118208</v>
      </c>
      <c r="H42" s="2" t="s">
        <v>75</v>
      </c>
      <c r="I42" s="2">
        <v>202601</v>
      </c>
      <c r="J42" s="2">
        <v>-6999</v>
      </c>
      <c r="K42" s="2" t="s">
        <v>151</v>
      </c>
      <c r="L42" s="2" t="s">
        <v>200</v>
      </c>
      <c r="M42" s="2" t="s">
        <v>204</v>
      </c>
      <c r="N42" s="2" t="s">
        <v>239</v>
      </c>
      <c r="O42" s="2" t="s">
        <v>244</v>
      </c>
      <c r="P42" s="2" t="s">
        <v>244</v>
      </c>
      <c r="Q42" s="2" t="s">
        <v>270</v>
      </c>
      <c r="R42" s="2" t="s">
        <v>239</v>
      </c>
      <c r="S42" s="2" t="s">
        <v>314</v>
      </c>
      <c r="T42" s="2" t="s">
        <v>315</v>
      </c>
      <c r="U42" s="2" t="s">
        <v>319</v>
      </c>
      <c r="V42" s="2">
        <v>1</v>
      </c>
      <c r="W42" s="2">
        <v>1</v>
      </c>
      <c r="X42" s="2" t="s">
        <v>336</v>
      </c>
      <c r="Y42" s="2" t="s">
        <v>204</v>
      </c>
      <c r="Z42" s="2" t="s">
        <v>239</v>
      </c>
      <c r="AA42" s="2" t="s">
        <v>270</v>
      </c>
      <c r="AB42" s="2" t="s">
        <v>239</v>
      </c>
      <c r="AC42" s="2">
        <v>38632</v>
      </c>
      <c r="AD42" s="2" t="s">
        <v>373</v>
      </c>
      <c r="AE42" s="2">
        <f t="shared" si="0"/>
        <v>1</v>
      </c>
      <c r="AF42" s="2">
        <v>202601</v>
      </c>
    </row>
    <row r="43" spans="1:32" hidden="1" x14ac:dyDescent="0.3">
      <c r="A43" s="2">
        <v>89820612698</v>
      </c>
      <c r="B43" s="2">
        <v>1207</v>
      </c>
      <c r="C43" s="2" t="s">
        <v>32</v>
      </c>
      <c r="D43" s="2" t="s">
        <v>33</v>
      </c>
      <c r="E43" s="2" t="s">
        <v>36</v>
      </c>
      <c r="F43" s="2">
        <v>612698</v>
      </c>
      <c r="G43" s="2">
        <v>118184</v>
      </c>
      <c r="H43" s="2" t="s">
        <v>76</v>
      </c>
      <c r="I43" s="2">
        <v>202601</v>
      </c>
      <c r="J43" s="2">
        <v>-109.03</v>
      </c>
      <c r="K43" s="2" t="s">
        <v>152</v>
      </c>
      <c r="L43" s="2" t="s">
        <v>200</v>
      </c>
      <c r="M43" s="2" t="s">
        <v>217</v>
      </c>
      <c r="N43" s="2" t="s">
        <v>238</v>
      </c>
      <c r="O43" s="2" t="s">
        <v>243</v>
      </c>
      <c r="P43" s="2" t="s">
        <v>254</v>
      </c>
      <c r="Q43" s="2" t="s">
        <v>283</v>
      </c>
      <c r="R43" s="2" t="s">
        <v>302</v>
      </c>
      <c r="S43" s="2" t="s">
        <v>314</v>
      </c>
      <c r="T43" s="2" t="s">
        <v>315</v>
      </c>
      <c r="U43" s="2" t="s">
        <v>327</v>
      </c>
      <c r="V43" s="2">
        <v>1</v>
      </c>
      <c r="W43" s="2">
        <v>1</v>
      </c>
      <c r="X43" s="2" t="s">
        <v>336</v>
      </c>
      <c r="Y43" s="2" t="s">
        <v>217</v>
      </c>
      <c r="Z43" s="2" t="s">
        <v>238</v>
      </c>
      <c r="AA43" s="2" t="s">
        <v>283</v>
      </c>
      <c r="AB43" s="2" t="s">
        <v>302</v>
      </c>
      <c r="AC43" s="2">
        <v>38633</v>
      </c>
      <c r="AD43" s="2" t="s">
        <v>374</v>
      </c>
      <c r="AE43" s="2">
        <f t="shared" si="0"/>
        <v>1</v>
      </c>
      <c r="AF43" s="2">
        <v>202601</v>
      </c>
    </row>
    <row r="44" spans="1:32" hidden="1" x14ac:dyDescent="0.3">
      <c r="A44" s="2">
        <v>89821612700</v>
      </c>
      <c r="B44" s="2">
        <v>1207</v>
      </c>
      <c r="C44" s="2" t="s">
        <v>32</v>
      </c>
      <c r="D44" s="2" t="s">
        <v>33</v>
      </c>
      <c r="E44" s="2" t="s">
        <v>36</v>
      </c>
      <c r="F44" s="2">
        <v>612700</v>
      </c>
      <c r="G44" s="2">
        <v>118034</v>
      </c>
      <c r="H44" s="2" t="s">
        <v>77</v>
      </c>
      <c r="I44" s="2">
        <v>202601</v>
      </c>
      <c r="J44" s="2">
        <v>-443.38</v>
      </c>
      <c r="K44" s="2" t="s">
        <v>153</v>
      </c>
      <c r="L44" s="2" t="s">
        <v>200</v>
      </c>
      <c r="M44" s="2" t="s">
        <v>218</v>
      </c>
      <c r="N44" s="2" t="s">
        <v>238</v>
      </c>
      <c r="O44" s="2" t="s">
        <v>246</v>
      </c>
      <c r="P44" s="2" t="s">
        <v>246</v>
      </c>
      <c r="Q44" s="2" t="s">
        <v>284</v>
      </c>
      <c r="R44" s="2" t="s">
        <v>302</v>
      </c>
      <c r="S44" s="2" t="s">
        <v>314</v>
      </c>
      <c r="T44" s="2" t="s">
        <v>315</v>
      </c>
      <c r="U44" s="2" t="s">
        <v>323</v>
      </c>
      <c r="V44" s="2">
        <v>1</v>
      </c>
      <c r="W44" s="2">
        <v>1</v>
      </c>
      <c r="X44" s="2" t="s">
        <v>336</v>
      </c>
      <c r="Y44" s="2" t="s">
        <v>218</v>
      </c>
      <c r="Z44" s="2" t="s">
        <v>238</v>
      </c>
      <c r="AA44" s="2" t="s">
        <v>284</v>
      </c>
      <c r="AB44" s="2" t="s">
        <v>302</v>
      </c>
      <c r="AC44" s="2">
        <v>38637</v>
      </c>
      <c r="AD44" s="2" t="s">
        <v>375</v>
      </c>
      <c r="AE44" s="2">
        <f t="shared" si="0"/>
        <v>2</v>
      </c>
      <c r="AF44" s="2">
        <v>202601</v>
      </c>
    </row>
    <row r="45" spans="1:32" hidden="1" x14ac:dyDescent="0.3">
      <c r="A45" s="2">
        <v>89821612701</v>
      </c>
      <c r="B45" s="2">
        <v>1207</v>
      </c>
      <c r="C45" s="2" t="s">
        <v>32</v>
      </c>
      <c r="D45" s="2" t="s">
        <v>33</v>
      </c>
      <c r="E45" s="2" t="s">
        <v>36</v>
      </c>
      <c r="F45" s="2">
        <v>612701</v>
      </c>
      <c r="G45" s="2">
        <v>118034</v>
      </c>
      <c r="H45" s="2" t="s">
        <v>77</v>
      </c>
      <c r="I45" s="2">
        <v>202601</v>
      </c>
      <c r="J45" s="2">
        <v>-325.61</v>
      </c>
      <c r="K45" s="2" t="s">
        <v>153</v>
      </c>
      <c r="L45" s="2" t="s">
        <v>200</v>
      </c>
      <c r="M45" s="2" t="s">
        <v>217</v>
      </c>
      <c r="N45" s="2" t="s">
        <v>238</v>
      </c>
      <c r="O45" s="2" t="s">
        <v>243</v>
      </c>
      <c r="P45" s="2" t="s">
        <v>254</v>
      </c>
      <c r="Q45" s="2" t="s">
        <v>283</v>
      </c>
      <c r="R45" s="2" t="s">
        <v>302</v>
      </c>
      <c r="S45" s="2" t="s">
        <v>314</v>
      </c>
      <c r="T45" s="2" t="s">
        <v>315</v>
      </c>
      <c r="U45" s="2" t="s">
        <v>323</v>
      </c>
      <c r="V45" s="2">
        <v>1</v>
      </c>
      <c r="W45" s="2">
        <v>1</v>
      </c>
      <c r="X45" s="2" t="s">
        <v>336</v>
      </c>
      <c r="Y45" s="2" t="s">
        <v>217</v>
      </c>
      <c r="Z45" s="2" t="s">
        <v>238</v>
      </c>
      <c r="AA45" s="2" t="s">
        <v>283</v>
      </c>
      <c r="AB45" s="2" t="s">
        <v>302</v>
      </c>
      <c r="AC45" s="2">
        <v>38637</v>
      </c>
      <c r="AD45" s="2" t="s">
        <v>375</v>
      </c>
      <c r="AE45" s="2">
        <f t="shared" si="0"/>
        <v>2</v>
      </c>
      <c r="AF45" s="2">
        <v>202601</v>
      </c>
    </row>
    <row r="46" spans="1:32" hidden="1" x14ac:dyDescent="0.3">
      <c r="A46" s="2">
        <v>89822612703</v>
      </c>
      <c r="B46" s="2">
        <v>1203</v>
      </c>
      <c r="C46" s="2" t="s">
        <v>32</v>
      </c>
      <c r="D46" s="2" t="s">
        <v>33</v>
      </c>
      <c r="E46" s="2" t="s">
        <v>36</v>
      </c>
      <c r="F46" s="2">
        <v>612703</v>
      </c>
      <c r="G46" s="2">
        <v>117871</v>
      </c>
      <c r="H46" s="2" t="s">
        <v>78</v>
      </c>
      <c r="I46" s="2">
        <v>202601</v>
      </c>
      <c r="J46" s="2">
        <v>-24500</v>
      </c>
      <c r="K46" s="2" t="s">
        <v>154</v>
      </c>
      <c r="L46" s="2" t="s">
        <v>200</v>
      </c>
      <c r="M46" s="2" t="s">
        <v>219</v>
      </c>
      <c r="N46" s="2" t="s">
        <v>238</v>
      </c>
      <c r="O46" s="2" t="s">
        <v>243</v>
      </c>
      <c r="P46" s="2" t="s">
        <v>261</v>
      </c>
      <c r="Q46" s="2" t="s">
        <v>285</v>
      </c>
      <c r="R46" s="2" t="s">
        <v>310</v>
      </c>
      <c r="S46" s="2" t="s">
        <v>314</v>
      </c>
      <c r="T46" s="2" t="s">
        <v>315</v>
      </c>
      <c r="U46" s="2" t="s">
        <v>328</v>
      </c>
      <c r="V46" s="2">
        <v>1</v>
      </c>
      <c r="W46" s="2">
        <v>1</v>
      </c>
      <c r="X46" s="2" t="s">
        <v>336</v>
      </c>
      <c r="Y46" s="2" t="s">
        <v>219</v>
      </c>
      <c r="Z46" s="2" t="s">
        <v>238</v>
      </c>
      <c r="AA46" s="2" t="s">
        <v>285</v>
      </c>
      <c r="AB46" s="2" t="s">
        <v>310</v>
      </c>
      <c r="AC46" s="2">
        <v>38638</v>
      </c>
      <c r="AD46" s="2" t="s">
        <v>376</v>
      </c>
      <c r="AE46" s="2">
        <f t="shared" si="0"/>
        <v>1</v>
      </c>
      <c r="AF46" s="2">
        <v>202601</v>
      </c>
    </row>
    <row r="47" spans="1:32" hidden="1" x14ac:dyDescent="0.3">
      <c r="A47" s="2">
        <v>89823612705</v>
      </c>
      <c r="B47" s="2">
        <v>1203</v>
      </c>
      <c r="C47" s="2" t="s">
        <v>32</v>
      </c>
      <c r="D47" s="2" t="s">
        <v>33</v>
      </c>
      <c r="E47" s="2" t="s">
        <v>36</v>
      </c>
      <c r="F47" s="2">
        <v>612705</v>
      </c>
      <c r="G47" s="2">
        <v>117855</v>
      </c>
      <c r="H47" s="2" t="s">
        <v>79</v>
      </c>
      <c r="I47" s="2">
        <v>202601</v>
      </c>
      <c r="J47" s="2">
        <v>-2325.9</v>
      </c>
      <c r="K47" s="2" t="s">
        <v>155</v>
      </c>
      <c r="L47" s="2" t="s">
        <v>200</v>
      </c>
      <c r="M47" s="2" t="s">
        <v>205</v>
      </c>
      <c r="N47" s="2" t="s">
        <v>238</v>
      </c>
      <c r="O47" s="2" t="s">
        <v>243</v>
      </c>
      <c r="P47" s="2" t="s">
        <v>255</v>
      </c>
      <c r="Q47" s="2" t="s">
        <v>271</v>
      </c>
      <c r="R47" s="2" t="s">
        <v>303</v>
      </c>
      <c r="S47" s="2" t="s">
        <v>314</v>
      </c>
      <c r="T47" s="2" t="s">
        <v>315</v>
      </c>
      <c r="U47" s="2" t="s">
        <v>324</v>
      </c>
      <c r="V47" s="2">
        <v>1</v>
      </c>
      <c r="W47" s="2">
        <v>1</v>
      </c>
      <c r="X47" s="2" t="s">
        <v>336</v>
      </c>
      <c r="Y47" s="2" t="s">
        <v>205</v>
      </c>
      <c r="Z47" s="2" t="s">
        <v>238</v>
      </c>
      <c r="AA47" s="2" t="s">
        <v>271</v>
      </c>
      <c r="AB47" s="2" t="s">
        <v>303</v>
      </c>
      <c r="AC47" s="2">
        <v>38639</v>
      </c>
      <c r="AD47" s="2" t="s">
        <v>377</v>
      </c>
      <c r="AE47" s="2">
        <f t="shared" si="0"/>
        <v>1</v>
      </c>
      <c r="AF47" s="2">
        <v>202601</v>
      </c>
    </row>
    <row r="48" spans="1:32" hidden="1" x14ac:dyDescent="0.3">
      <c r="A48" s="2">
        <v>89824612707</v>
      </c>
      <c r="B48" s="2">
        <v>1207</v>
      </c>
      <c r="C48" s="2" t="s">
        <v>32</v>
      </c>
      <c r="D48" s="2" t="s">
        <v>33</v>
      </c>
      <c r="E48" s="2" t="s">
        <v>36</v>
      </c>
      <c r="F48" s="2">
        <v>612707</v>
      </c>
      <c r="G48" s="2">
        <v>117709</v>
      </c>
      <c r="H48" s="2" t="s">
        <v>80</v>
      </c>
      <c r="I48" s="2">
        <v>202601</v>
      </c>
      <c r="J48" s="2">
        <v>-156.26</v>
      </c>
      <c r="K48" s="2" t="s">
        <v>156</v>
      </c>
      <c r="L48" s="2" t="s">
        <v>200</v>
      </c>
      <c r="M48" s="2" t="s">
        <v>220</v>
      </c>
      <c r="N48" s="2" t="s">
        <v>238</v>
      </c>
      <c r="O48" s="2" t="s">
        <v>245</v>
      </c>
      <c r="P48" s="2" t="s">
        <v>262</v>
      </c>
      <c r="Q48" s="2" t="s">
        <v>286</v>
      </c>
      <c r="R48" s="2" t="s">
        <v>303</v>
      </c>
      <c r="S48" s="2" t="s">
        <v>314</v>
      </c>
      <c r="T48" s="2" t="s">
        <v>315</v>
      </c>
      <c r="U48" s="2" t="s">
        <v>329</v>
      </c>
      <c r="V48" s="2">
        <v>1</v>
      </c>
      <c r="W48" s="2">
        <v>1</v>
      </c>
      <c r="X48" s="2" t="s">
        <v>336</v>
      </c>
      <c r="Y48" s="2" t="s">
        <v>220</v>
      </c>
      <c r="Z48" s="2" t="s">
        <v>238</v>
      </c>
      <c r="AA48" s="2" t="s">
        <v>286</v>
      </c>
      <c r="AB48" s="2" t="s">
        <v>303</v>
      </c>
      <c r="AC48" s="2">
        <v>38640</v>
      </c>
      <c r="AD48" s="2" t="s">
        <v>378</v>
      </c>
      <c r="AE48" s="2">
        <f t="shared" si="0"/>
        <v>1</v>
      </c>
      <c r="AF48" s="2">
        <v>202601</v>
      </c>
    </row>
    <row r="49" spans="1:32" hidden="1" x14ac:dyDescent="0.3">
      <c r="A49" s="2">
        <v>89825612709</v>
      </c>
      <c r="B49" s="2">
        <v>1203</v>
      </c>
      <c r="C49" s="2" t="s">
        <v>32</v>
      </c>
      <c r="D49" s="2" t="s">
        <v>33</v>
      </c>
      <c r="E49" s="2" t="s">
        <v>36</v>
      </c>
      <c r="F49" s="2">
        <v>612709</v>
      </c>
      <c r="G49" s="2">
        <v>117651</v>
      </c>
      <c r="H49" s="2" t="s">
        <v>67</v>
      </c>
      <c r="I49" s="2">
        <v>202601</v>
      </c>
      <c r="J49" s="2">
        <v>-266.67</v>
      </c>
      <c r="K49" s="2" t="s">
        <v>157</v>
      </c>
      <c r="L49" s="2" t="s">
        <v>200</v>
      </c>
      <c r="M49" s="2" t="s">
        <v>205</v>
      </c>
      <c r="N49" s="2" t="s">
        <v>238</v>
      </c>
      <c r="O49" s="2" t="s">
        <v>243</v>
      </c>
      <c r="P49" s="2" t="s">
        <v>255</v>
      </c>
      <c r="Q49" s="2" t="s">
        <v>271</v>
      </c>
      <c r="R49" s="2" t="s">
        <v>303</v>
      </c>
      <c r="S49" s="2" t="s">
        <v>314</v>
      </c>
      <c r="T49" s="2" t="s">
        <v>315</v>
      </c>
      <c r="U49" s="2" t="s">
        <v>326</v>
      </c>
      <c r="V49" s="2">
        <v>1</v>
      </c>
      <c r="W49" s="2">
        <v>1</v>
      </c>
      <c r="X49" s="2" t="s">
        <v>336</v>
      </c>
      <c r="Y49" s="2" t="s">
        <v>205</v>
      </c>
      <c r="Z49" s="2" t="s">
        <v>238</v>
      </c>
      <c r="AA49" s="2" t="s">
        <v>271</v>
      </c>
      <c r="AB49" s="2" t="s">
        <v>303</v>
      </c>
      <c r="AC49" s="2">
        <v>38643</v>
      </c>
      <c r="AD49" s="2" t="s">
        <v>379</v>
      </c>
      <c r="AE49" s="2">
        <f t="shared" si="0"/>
        <v>1</v>
      </c>
      <c r="AF49" s="2">
        <v>202601</v>
      </c>
    </row>
    <row r="50" spans="1:32" hidden="1" x14ac:dyDescent="0.3">
      <c r="A50" s="2">
        <v>89826612711</v>
      </c>
      <c r="B50" s="2">
        <v>1203</v>
      </c>
      <c r="C50" s="2" t="s">
        <v>32</v>
      </c>
      <c r="D50" s="2" t="s">
        <v>33</v>
      </c>
      <c r="E50" s="2" t="s">
        <v>36</v>
      </c>
      <c r="F50" s="2">
        <v>612711</v>
      </c>
      <c r="G50" s="2">
        <v>117620</v>
      </c>
      <c r="H50" s="2" t="s">
        <v>81</v>
      </c>
      <c r="I50" s="2">
        <v>202601</v>
      </c>
      <c r="J50" s="2">
        <v>-35000</v>
      </c>
      <c r="K50" s="2" t="s">
        <v>158</v>
      </c>
      <c r="L50" s="2" t="s">
        <v>200</v>
      </c>
      <c r="M50" s="2" t="s">
        <v>205</v>
      </c>
      <c r="N50" s="2" t="s">
        <v>238</v>
      </c>
      <c r="O50" s="2" t="s">
        <v>243</v>
      </c>
      <c r="P50" s="2" t="s">
        <v>255</v>
      </c>
      <c r="Q50" s="2" t="s">
        <v>271</v>
      </c>
      <c r="R50" s="2" t="s">
        <v>303</v>
      </c>
      <c r="S50" s="2" t="s">
        <v>314</v>
      </c>
      <c r="T50" s="2" t="s">
        <v>315</v>
      </c>
      <c r="U50" s="2" t="s">
        <v>330</v>
      </c>
      <c r="V50" s="2">
        <v>1</v>
      </c>
      <c r="W50" s="2">
        <v>1</v>
      </c>
      <c r="X50" s="2" t="s">
        <v>336</v>
      </c>
      <c r="Y50" s="2" t="s">
        <v>205</v>
      </c>
      <c r="Z50" s="2" t="s">
        <v>238</v>
      </c>
      <c r="AA50" s="2" t="s">
        <v>271</v>
      </c>
      <c r="AB50" s="2" t="s">
        <v>303</v>
      </c>
      <c r="AC50" s="2">
        <v>38644</v>
      </c>
      <c r="AD50" s="2" t="s">
        <v>380</v>
      </c>
      <c r="AE50" s="2">
        <f t="shared" si="0"/>
        <v>1</v>
      </c>
      <c r="AF50" s="2">
        <v>202601</v>
      </c>
    </row>
    <row r="51" spans="1:32" hidden="1" x14ac:dyDescent="0.3">
      <c r="A51" s="2">
        <v>89827612713</v>
      </c>
      <c r="B51" s="2">
        <v>1216</v>
      </c>
      <c r="C51" s="2" t="s">
        <v>32</v>
      </c>
      <c r="D51" s="2" t="s">
        <v>33</v>
      </c>
      <c r="E51" s="2" t="s">
        <v>36</v>
      </c>
      <c r="F51" s="2">
        <v>612713</v>
      </c>
      <c r="G51" s="2">
        <v>117598</v>
      </c>
      <c r="H51" s="2" t="s">
        <v>82</v>
      </c>
      <c r="I51" s="2">
        <v>202601</v>
      </c>
      <c r="J51" s="2">
        <v>-807.32</v>
      </c>
      <c r="K51" s="2" t="s">
        <v>159</v>
      </c>
      <c r="L51" s="2" t="s">
        <v>200</v>
      </c>
      <c r="M51" s="2" t="s">
        <v>204</v>
      </c>
      <c r="N51" s="2" t="s">
        <v>239</v>
      </c>
      <c r="O51" s="2" t="s">
        <v>244</v>
      </c>
      <c r="P51" s="2" t="s">
        <v>244</v>
      </c>
      <c r="Q51" s="2" t="s">
        <v>270</v>
      </c>
      <c r="R51" s="2" t="s">
        <v>239</v>
      </c>
      <c r="S51" s="2" t="s">
        <v>314</v>
      </c>
      <c r="T51" s="2" t="s">
        <v>315</v>
      </c>
      <c r="U51" s="2" t="s">
        <v>319</v>
      </c>
      <c r="V51" s="2">
        <v>1</v>
      </c>
      <c r="W51" s="2">
        <v>1</v>
      </c>
      <c r="X51" s="2" t="s">
        <v>336</v>
      </c>
      <c r="Y51" s="2" t="s">
        <v>204</v>
      </c>
      <c r="Z51" s="2" t="s">
        <v>239</v>
      </c>
      <c r="AA51" s="2" t="s">
        <v>270</v>
      </c>
      <c r="AB51" s="2" t="s">
        <v>239</v>
      </c>
      <c r="AC51" s="2">
        <v>38645</v>
      </c>
      <c r="AD51" s="2" t="s">
        <v>381</v>
      </c>
      <c r="AE51" s="2">
        <f t="shared" si="0"/>
        <v>1</v>
      </c>
      <c r="AF51" s="2">
        <v>202601</v>
      </c>
    </row>
    <row r="52" spans="1:32" hidden="1" x14ac:dyDescent="0.3">
      <c r="A52" s="2">
        <v>89828612715</v>
      </c>
      <c r="B52" s="2">
        <v>1216</v>
      </c>
      <c r="C52" s="2" t="s">
        <v>32</v>
      </c>
      <c r="D52" s="2" t="s">
        <v>33</v>
      </c>
      <c r="E52" s="2" t="s">
        <v>36</v>
      </c>
      <c r="F52" s="2">
        <v>612715</v>
      </c>
      <c r="G52" s="2">
        <v>117549</v>
      </c>
      <c r="H52" s="2" t="s">
        <v>43</v>
      </c>
      <c r="I52" s="2">
        <v>202601</v>
      </c>
      <c r="J52" s="2">
        <v>-3809.23</v>
      </c>
      <c r="K52" s="2" t="s">
        <v>160</v>
      </c>
      <c r="L52" s="2" t="s">
        <v>200</v>
      </c>
      <c r="M52" s="2" t="s">
        <v>203</v>
      </c>
      <c r="N52" s="2" t="s">
        <v>238</v>
      </c>
      <c r="O52" s="2" t="s">
        <v>243</v>
      </c>
      <c r="P52" s="2" t="s">
        <v>254</v>
      </c>
      <c r="Q52" s="2" t="s">
        <v>269</v>
      </c>
      <c r="R52" s="2" t="s">
        <v>302</v>
      </c>
      <c r="S52" s="2" t="s">
        <v>314</v>
      </c>
      <c r="T52" s="2" t="s">
        <v>315</v>
      </c>
      <c r="U52" s="2" t="s">
        <v>318</v>
      </c>
      <c r="V52" s="2">
        <v>1</v>
      </c>
      <c r="W52" s="2">
        <v>1</v>
      </c>
      <c r="X52" s="2" t="s">
        <v>336</v>
      </c>
      <c r="Y52" s="2" t="s">
        <v>203</v>
      </c>
      <c r="Z52" s="2" t="s">
        <v>238</v>
      </c>
      <c r="AA52" s="2" t="s">
        <v>269</v>
      </c>
      <c r="AB52" s="2" t="s">
        <v>302</v>
      </c>
      <c r="AC52" s="2">
        <v>38646</v>
      </c>
      <c r="AD52" s="2" t="s">
        <v>382</v>
      </c>
      <c r="AE52" s="2">
        <f t="shared" si="0"/>
        <v>1</v>
      </c>
      <c r="AF52" s="2">
        <v>202601</v>
      </c>
    </row>
    <row r="53" spans="1:32" hidden="1" x14ac:dyDescent="0.3">
      <c r="A53" s="2">
        <v>89829612717</v>
      </c>
      <c r="B53" s="2">
        <v>1203</v>
      </c>
      <c r="C53" s="2" t="s">
        <v>32</v>
      </c>
      <c r="D53" s="2" t="s">
        <v>33</v>
      </c>
      <c r="E53" s="2" t="s">
        <v>36</v>
      </c>
      <c r="F53" s="2">
        <v>612717</v>
      </c>
      <c r="G53" s="2">
        <v>117486</v>
      </c>
      <c r="H53" s="2" t="s">
        <v>83</v>
      </c>
      <c r="I53" s="2">
        <v>202601</v>
      </c>
      <c r="J53" s="2">
        <v>-29739</v>
      </c>
      <c r="K53" s="2" t="s">
        <v>161</v>
      </c>
      <c r="L53" s="2" t="s">
        <v>200</v>
      </c>
      <c r="M53" s="2" t="s">
        <v>211</v>
      </c>
      <c r="N53" s="2" t="s">
        <v>238</v>
      </c>
      <c r="O53" s="2" t="s">
        <v>245</v>
      </c>
      <c r="P53" s="2" t="s">
        <v>260</v>
      </c>
      <c r="Q53" s="2" t="s">
        <v>277</v>
      </c>
      <c r="R53" s="2" t="s">
        <v>303</v>
      </c>
      <c r="S53" s="2" t="s">
        <v>314</v>
      </c>
      <c r="T53" s="2" t="s">
        <v>315</v>
      </c>
      <c r="U53" s="2" t="s">
        <v>325</v>
      </c>
      <c r="V53" s="2">
        <v>1</v>
      </c>
      <c r="W53" s="2">
        <v>1</v>
      </c>
      <c r="X53" s="2" t="s">
        <v>336</v>
      </c>
      <c r="Y53" s="2" t="s">
        <v>211</v>
      </c>
      <c r="Z53" s="2" t="s">
        <v>238</v>
      </c>
      <c r="AA53" s="2" t="s">
        <v>277</v>
      </c>
      <c r="AB53" s="2" t="s">
        <v>303</v>
      </c>
      <c r="AC53" s="2">
        <v>38647</v>
      </c>
      <c r="AD53" s="2" t="s">
        <v>383</v>
      </c>
      <c r="AE53" s="2">
        <f t="shared" si="0"/>
        <v>1</v>
      </c>
      <c r="AF53" s="2">
        <v>202601</v>
      </c>
    </row>
    <row r="54" spans="1:32" hidden="1" x14ac:dyDescent="0.3">
      <c r="A54" s="2">
        <v>89830612719</v>
      </c>
      <c r="B54" s="2">
        <v>1207</v>
      </c>
      <c r="C54" s="2" t="s">
        <v>32</v>
      </c>
      <c r="D54" s="2" t="s">
        <v>33</v>
      </c>
      <c r="E54" s="2" t="s">
        <v>36</v>
      </c>
      <c r="F54" s="2">
        <v>612719</v>
      </c>
      <c r="G54" s="2">
        <v>117151</v>
      </c>
      <c r="H54" s="2" t="s">
        <v>84</v>
      </c>
      <c r="I54" s="2">
        <v>202601</v>
      </c>
      <c r="J54" s="2">
        <v>-432.19</v>
      </c>
      <c r="K54" s="2" t="s">
        <v>162</v>
      </c>
      <c r="L54" s="2" t="s">
        <v>200</v>
      </c>
      <c r="M54" s="2" t="s">
        <v>221</v>
      </c>
      <c r="N54" s="2" t="s">
        <v>237</v>
      </c>
      <c r="O54" s="2" t="s">
        <v>243</v>
      </c>
      <c r="P54" s="2" t="s">
        <v>263</v>
      </c>
      <c r="Q54" s="2" t="s">
        <v>287</v>
      </c>
      <c r="R54" s="2" t="s">
        <v>306</v>
      </c>
      <c r="S54" s="2" t="s">
        <v>314</v>
      </c>
      <c r="T54" s="2" t="s">
        <v>315</v>
      </c>
      <c r="U54" s="2" t="s">
        <v>323</v>
      </c>
      <c r="V54" s="2">
        <v>1</v>
      </c>
      <c r="W54" s="2">
        <v>1</v>
      </c>
      <c r="X54" s="2" t="s">
        <v>336</v>
      </c>
      <c r="Y54" s="2" t="s">
        <v>221</v>
      </c>
      <c r="Z54" s="2" t="s">
        <v>237</v>
      </c>
      <c r="AA54" s="2" t="s">
        <v>287</v>
      </c>
      <c r="AB54" s="2" t="s">
        <v>306</v>
      </c>
      <c r="AC54" s="2">
        <v>38648</v>
      </c>
      <c r="AD54" s="2" t="s">
        <v>384</v>
      </c>
      <c r="AE54" s="2">
        <f t="shared" si="0"/>
        <v>1</v>
      </c>
      <c r="AF54" s="2">
        <v>202601</v>
      </c>
    </row>
    <row r="55" spans="1:32" hidden="1" x14ac:dyDescent="0.3">
      <c r="A55" s="2">
        <v>89832612726</v>
      </c>
      <c r="B55" s="2">
        <v>1203</v>
      </c>
      <c r="C55" s="2" t="s">
        <v>32</v>
      </c>
      <c r="D55" s="2" t="s">
        <v>33</v>
      </c>
      <c r="E55" s="2" t="s">
        <v>36</v>
      </c>
      <c r="F55" s="2">
        <v>612726</v>
      </c>
      <c r="G55" s="2">
        <v>116965</v>
      </c>
      <c r="H55" s="2" t="s">
        <v>85</v>
      </c>
      <c r="I55" s="2">
        <v>202601</v>
      </c>
      <c r="J55" s="2">
        <v>-6600</v>
      </c>
      <c r="K55" s="2" t="s">
        <v>163</v>
      </c>
      <c r="L55" s="2" t="s">
        <v>200</v>
      </c>
      <c r="M55" s="2" t="s">
        <v>205</v>
      </c>
      <c r="N55" s="2" t="s">
        <v>238</v>
      </c>
      <c r="O55" s="2" t="s">
        <v>243</v>
      </c>
      <c r="P55" s="2" t="s">
        <v>255</v>
      </c>
      <c r="Q55" s="2" t="s">
        <v>271</v>
      </c>
      <c r="R55" s="2" t="s">
        <v>303</v>
      </c>
      <c r="S55" s="2" t="s">
        <v>314</v>
      </c>
      <c r="T55" s="2" t="s">
        <v>315</v>
      </c>
      <c r="U55" s="2" t="s">
        <v>324</v>
      </c>
      <c r="V55" s="2">
        <v>1</v>
      </c>
      <c r="W55" s="2">
        <v>1</v>
      </c>
      <c r="X55" s="2" t="s">
        <v>336</v>
      </c>
      <c r="Y55" s="2" t="s">
        <v>205</v>
      </c>
      <c r="Z55" s="2" t="s">
        <v>238</v>
      </c>
      <c r="AA55" s="2" t="s">
        <v>271</v>
      </c>
      <c r="AB55" s="2" t="s">
        <v>303</v>
      </c>
      <c r="AC55" s="2">
        <v>38650</v>
      </c>
      <c r="AD55" s="2" t="s">
        <v>385</v>
      </c>
      <c r="AE55" s="2">
        <f t="shared" si="0"/>
        <v>1</v>
      </c>
      <c r="AF55" s="2">
        <v>202601</v>
      </c>
    </row>
    <row r="56" spans="1:32" hidden="1" x14ac:dyDescent="0.3">
      <c r="A56" s="2">
        <v>89833612728</v>
      </c>
      <c r="B56" s="2">
        <v>1203</v>
      </c>
      <c r="C56" s="2" t="s">
        <v>32</v>
      </c>
      <c r="D56" s="2" t="s">
        <v>33</v>
      </c>
      <c r="E56" s="2" t="s">
        <v>36</v>
      </c>
      <c r="F56" s="2">
        <v>612728</v>
      </c>
      <c r="G56" s="2">
        <v>116961</v>
      </c>
      <c r="H56" s="2" t="s">
        <v>85</v>
      </c>
      <c r="I56" s="2">
        <v>202601</v>
      </c>
      <c r="J56" s="2">
        <v>-6600</v>
      </c>
      <c r="K56" s="2" t="s">
        <v>164</v>
      </c>
      <c r="L56" s="2" t="s">
        <v>200</v>
      </c>
      <c r="M56" s="2" t="s">
        <v>205</v>
      </c>
      <c r="N56" s="2" t="s">
        <v>238</v>
      </c>
      <c r="O56" s="2" t="s">
        <v>243</v>
      </c>
      <c r="P56" s="2" t="s">
        <v>255</v>
      </c>
      <c r="Q56" s="2" t="s">
        <v>271</v>
      </c>
      <c r="R56" s="2" t="s">
        <v>303</v>
      </c>
      <c r="S56" s="2" t="s">
        <v>314</v>
      </c>
      <c r="T56" s="2" t="s">
        <v>315</v>
      </c>
      <c r="U56" s="2" t="s">
        <v>324</v>
      </c>
      <c r="V56" s="2">
        <v>1</v>
      </c>
      <c r="W56" s="2">
        <v>1</v>
      </c>
      <c r="X56" s="2" t="s">
        <v>336</v>
      </c>
      <c r="Y56" s="2" t="s">
        <v>205</v>
      </c>
      <c r="Z56" s="2" t="s">
        <v>238</v>
      </c>
      <c r="AA56" s="2" t="s">
        <v>271</v>
      </c>
      <c r="AB56" s="2" t="s">
        <v>303</v>
      </c>
      <c r="AC56" s="2">
        <v>38651</v>
      </c>
      <c r="AD56" s="2" t="s">
        <v>386</v>
      </c>
      <c r="AE56" s="2">
        <f t="shared" si="0"/>
        <v>1</v>
      </c>
      <c r="AF56" s="2">
        <v>202601</v>
      </c>
    </row>
    <row r="57" spans="1:32" hidden="1" x14ac:dyDescent="0.3">
      <c r="A57" s="2">
        <v>89834612730</v>
      </c>
      <c r="B57" s="2">
        <v>1207</v>
      </c>
      <c r="C57" s="2" t="s">
        <v>32</v>
      </c>
      <c r="D57" s="2" t="s">
        <v>33</v>
      </c>
      <c r="E57" s="2" t="s">
        <v>36</v>
      </c>
      <c r="F57" s="2">
        <v>612730</v>
      </c>
      <c r="G57" s="2">
        <v>116929</v>
      </c>
      <c r="H57" s="2" t="s">
        <v>86</v>
      </c>
      <c r="I57" s="2">
        <v>202601</v>
      </c>
      <c r="J57" s="2">
        <v>-861.2</v>
      </c>
      <c r="K57" s="2" t="s">
        <v>165</v>
      </c>
      <c r="L57" s="2" t="s">
        <v>200</v>
      </c>
      <c r="M57" s="2" t="s">
        <v>222</v>
      </c>
      <c r="N57" s="2" t="s">
        <v>237</v>
      </c>
      <c r="O57" s="2" t="s">
        <v>243</v>
      </c>
      <c r="P57" s="2" t="s">
        <v>263</v>
      </c>
      <c r="Q57" s="2" t="s">
        <v>288</v>
      </c>
      <c r="R57" s="2" t="s">
        <v>306</v>
      </c>
      <c r="S57" s="2" t="s">
        <v>314</v>
      </c>
      <c r="T57" s="2" t="s">
        <v>315</v>
      </c>
      <c r="U57" s="2" t="s">
        <v>323</v>
      </c>
      <c r="V57" s="2">
        <v>1</v>
      </c>
      <c r="W57" s="2">
        <v>1</v>
      </c>
      <c r="X57" s="2" t="s">
        <v>336</v>
      </c>
      <c r="Y57" s="2" t="s">
        <v>222</v>
      </c>
      <c r="Z57" s="2" t="s">
        <v>237</v>
      </c>
      <c r="AA57" s="2" t="s">
        <v>288</v>
      </c>
      <c r="AB57" s="2" t="s">
        <v>306</v>
      </c>
      <c r="AC57" s="2">
        <v>38652</v>
      </c>
      <c r="AD57" s="2" t="s">
        <v>387</v>
      </c>
      <c r="AE57" s="2">
        <f t="shared" si="0"/>
        <v>1</v>
      </c>
      <c r="AF57" s="2">
        <v>202601</v>
      </c>
    </row>
    <row r="58" spans="1:32" hidden="1" x14ac:dyDescent="0.3">
      <c r="A58" s="2">
        <v>89838612741</v>
      </c>
      <c r="B58" s="2">
        <v>1229</v>
      </c>
      <c r="C58" s="2" t="s">
        <v>32</v>
      </c>
      <c r="D58" s="2" t="s">
        <v>33</v>
      </c>
      <c r="E58" s="2" t="s">
        <v>36</v>
      </c>
      <c r="F58" s="2">
        <v>612741</v>
      </c>
      <c r="G58" s="2">
        <v>116883</v>
      </c>
      <c r="H58" s="2" t="s">
        <v>87</v>
      </c>
      <c r="I58" s="2">
        <v>202601</v>
      </c>
      <c r="J58" s="2">
        <v>-364.74</v>
      </c>
      <c r="K58" s="2" t="s">
        <v>166</v>
      </c>
      <c r="L58" s="2" t="s">
        <v>200</v>
      </c>
      <c r="M58" s="2" t="s">
        <v>218</v>
      </c>
      <c r="N58" s="2" t="s">
        <v>238</v>
      </c>
      <c r="O58" s="2" t="s">
        <v>246</v>
      </c>
      <c r="P58" s="2" t="s">
        <v>246</v>
      </c>
      <c r="Q58" s="2" t="s">
        <v>284</v>
      </c>
      <c r="R58" s="2" t="s">
        <v>302</v>
      </c>
      <c r="S58" s="2" t="s">
        <v>314</v>
      </c>
      <c r="T58" s="2" t="s">
        <v>315</v>
      </c>
      <c r="U58" s="2" t="s">
        <v>324</v>
      </c>
      <c r="V58" s="2">
        <v>1</v>
      </c>
      <c r="W58" s="2">
        <v>1</v>
      </c>
      <c r="X58" s="2" t="s">
        <v>335</v>
      </c>
      <c r="Y58" s="2" t="s">
        <v>218</v>
      </c>
      <c r="Z58" s="2" t="s">
        <v>238</v>
      </c>
      <c r="AA58" s="2" t="s">
        <v>284</v>
      </c>
      <c r="AB58" s="2" t="s">
        <v>302</v>
      </c>
      <c r="AC58" s="2">
        <v>38653</v>
      </c>
      <c r="AD58" s="2" t="s">
        <v>388</v>
      </c>
      <c r="AE58" s="2">
        <f t="shared" si="0"/>
        <v>2</v>
      </c>
      <c r="AF58" s="2">
        <v>202601</v>
      </c>
    </row>
    <row r="59" spans="1:32" hidden="1" x14ac:dyDescent="0.3">
      <c r="A59" s="2">
        <v>89838612742</v>
      </c>
      <c r="B59" s="2">
        <v>1229</v>
      </c>
      <c r="C59" s="2" t="s">
        <v>32</v>
      </c>
      <c r="D59" s="2" t="s">
        <v>33</v>
      </c>
      <c r="E59" s="2" t="s">
        <v>36</v>
      </c>
      <c r="F59" s="2">
        <v>612742</v>
      </c>
      <c r="G59" s="2">
        <v>116883</v>
      </c>
      <c r="H59" s="2" t="s">
        <v>87</v>
      </c>
      <c r="I59" s="2">
        <v>202601</v>
      </c>
      <c r="J59" s="2">
        <v>-239.98</v>
      </c>
      <c r="K59" s="2" t="s">
        <v>166</v>
      </c>
      <c r="L59" s="2" t="s">
        <v>200</v>
      </c>
      <c r="M59" s="2" t="s">
        <v>223</v>
      </c>
      <c r="N59" s="2" t="s">
        <v>238</v>
      </c>
      <c r="O59" s="2" t="s">
        <v>243</v>
      </c>
      <c r="P59" s="2" t="s">
        <v>262</v>
      </c>
      <c r="Q59" s="2" t="s">
        <v>289</v>
      </c>
      <c r="R59" s="2" t="s">
        <v>303</v>
      </c>
      <c r="S59" s="2" t="s">
        <v>314</v>
      </c>
      <c r="T59" s="2" t="s">
        <v>315</v>
      </c>
      <c r="U59" s="2" t="s">
        <v>324</v>
      </c>
      <c r="V59" s="2">
        <v>1</v>
      </c>
      <c r="W59" s="2">
        <v>1</v>
      </c>
      <c r="X59" s="2" t="s">
        <v>335</v>
      </c>
      <c r="Y59" s="2" t="s">
        <v>223</v>
      </c>
      <c r="Z59" s="2" t="s">
        <v>238</v>
      </c>
      <c r="AA59" s="2" t="s">
        <v>289</v>
      </c>
      <c r="AB59" s="2" t="s">
        <v>303</v>
      </c>
      <c r="AC59" s="2">
        <v>38653</v>
      </c>
      <c r="AD59" s="2" t="s">
        <v>388</v>
      </c>
      <c r="AE59" s="2">
        <f t="shared" si="0"/>
        <v>2</v>
      </c>
      <c r="AF59" s="2">
        <v>202601</v>
      </c>
    </row>
    <row r="60" spans="1:32" hidden="1" x14ac:dyDescent="0.3">
      <c r="A60" s="2">
        <v>89836612735</v>
      </c>
      <c r="B60" s="2">
        <v>1207</v>
      </c>
      <c r="C60" s="2" t="s">
        <v>32</v>
      </c>
      <c r="D60" s="2" t="s">
        <v>33</v>
      </c>
      <c r="E60" s="2" t="s">
        <v>36</v>
      </c>
      <c r="F60" s="2">
        <v>612735</v>
      </c>
      <c r="G60" s="2">
        <v>116878</v>
      </c>
      <c r="H60" s="2" t="s">
        <v>88</v>
      </c>
      <c r="I60" s="2">
        <v>202601</v>
      </c>
      <c r="J60" s="2">
        <v>-221.38</v>
      </c>
      <c r="K60" s="2" t="s">
        <v>167</v>
      </c>
      <c r="L60" s="2" t="s">
        <v>200</v>
      </c>
      <c r="M60" s="2" t="s">
        <v>224</v>
      </c>
      <c r="N60" s="2" t="s">
        <v>238</v>
      </c>
      <c r="O60" s="2" t="s">
        <v>243</v>
      </c>
      <c r="P60" s="2" t="s">
        <v>264</v>
      </c>
      <c r="Q60" s="2" t="s">
        <v>290</v>
      </c>
      <c r="R60" s="2" t="s">
        <v>302</v>
      </c>
      <c r="S60" s="2" t="s">
        <v>314</v>
      </c>
      <c r="T60" s="2" t="s">
        <v>315</v>
      </c>
      <c r="U60" s="2" t="s">
        <v>324</v>
      </c>
      <c r="V60" s="2">
        <v>1</v>
      </c>
      <c r="W60" s="2">
        <v>1</v>
      </c>
      <c r="X60" s="2" t="s">
        <v>336</v>
      </c>
      <c r="Y60" s="2" t="s">
        <v>224</v>
      </c>
      <c r="Z60" s="2" t="s">
        <v>238</v>
      </c>
      <c r="AA60" s="2" t="s">
        <v>290</v>
      </c>
      <c r="AB60" s="2" t="s">
        <v>302</v>
      </c>
      <c r="AC60" s="2">
        <v>38655</v>
      </c>
      <c r="AD60" s="2" t="s">
        <v>389</v>
      </c>
      <c r="AE60" s="2">
        <f t="shared" si="0"/>
        <v>2</v>
      </c>
      <c r="AF60" s="2">
        <v>202601</v>
      </c>
    </row>
    <row r="61" spans="1:32" hidden="1" x14ac:dyDescent="0.3">
      <c r="A61" s="2">
        <v>89836612736</v>
      </c>
      <c r="B61" s="2">
        <v>1207</v>
      </c>
      <c r="C61" s="2" t="s">
        <v>32</v>
      </c>
      <c r="D61" s="2" t="s">
        <v>33</v>
      </c>
      <c r="E61" s="2" t="s">
        <v>36</v>
      </c>
      <c r="F61" s="2">
        <v>612736</v>
      </c>
      <c r="G61" s="2">
        <v>116878</v>
      </c>
      <c r="H61" s="2" t="s">
        <v>88</v>
      </c>
      <c r="I61" s="2">
        <v>202601</v>
      </c>
      <c r="J61" s="2">
        <v>-123.68</v>
      </c>
      <c r="K61" s="2" t="s">
        <v>167</v>
      </c>
      <c r="L61" s="2" t="s">
        <v>200</v>
      </c>
      <c r="M61" s="2" t="s">
        <v>218</v>
      </c>
      <c r="N61" s="2" t="s">
        <v>238</v>
      </c>
      <c r="O61" s="2" t="s">
        <v>246</v>
      </c>
      <c r="P61" s="2" t="s">
        <v>246</v>
      </c>
      <c r="Q61" s="2" t="s">
        <v>284</v>
      </c>
      <c r="R61" s="2" t="s">
        <v>302</v>
      </c>
      <c r="S61" s="2" t="s">
        <v>314</v>
      </c>
      <c r="T61" s="2" t="s">
        <v>315</v>
      </c>
      <c r="U61" s="2" t="s">
        <v>324</v>
      </c>
      <c r="V61" s="2">
        <v>1</v>
      </c>
      <c r="W61" s="2">
        <v>1</v>
      </c>
      <c r="X61" s="2" t="s">
        <v>336</v>
      </c>
      <c r="Y61" s="2" t="s">
        <v>218</v>
      </c>
      <c r="Z61" s="2" t="s">
        <v>238</v>
      </c>
      <c r="AA61" s="2" t="s">
        <v>284</v>
      </c>
      <c r="AB61" s="2" t="s">
        <v>302</v>
      </c>
      <c r="AC61" s="2">
        <v>38655</v>
      </c>
      <c r="AD61" s="2" t="s">
        <v>389</v>
      </c>
      <c r="AE61" s="2">
        <f t="shared" si="0"/>
        <v>2</v>
      </c>
      <c r="AF61" s="2">
        <v>202601</v>
      </c>
    </row>
    <row r="62" spans="1:32" hidden="1" x14ac:dyDescent="0.3">
      <c r="A62" s="2">
        <v>89837612738</v>
      </c>
      <c r="B62" s="2">
        <v>1229</v>
      </c>
      <c r="C62" s="2" t="s">
        <v>32</v>
      </c>
      <c r="D62" s="2" t="s">
        <v>33</v>
      </c>
      <c r="E62" s="2" t="s">
        <v>36</v>
      </c>
      <c r="F62" s="2">
        <v>612738</v>
      </c>
      <c r="G62" s="2">
        <v>115816</v>
      </c>
      <c r="H62" s="2" t="s">
        <v>89</v>
      </c>
      <c r="I62" s="2">
        <v>202601</v>
      </c>
      <c r="J62" s="2">
        <v>-2504.1999999999998</v>
      </c>
      <c r="K62" s="2" t="s">
        <v>168</v>
      </c>
      <c r="L62" s="2" t="s">
        <v>200</v>
      </c>
      <c r="M62" s="2" t="s">
        <v>225</v>
      </c>
      <c r="N62" s="2" t="s">
        <v>238</v>
      </c>
      <c r="O62" s="2" t="s">
        <v>249</v>
      </c>
      <c r="P62" s="2" t="s">
        <v>249</v>
      </c>
      <c r="Q62" s="2" t="s">
        <v>291</v>
      </c>
      <c r="R62" s="2" t="s">
        <v>311</v>
      </c>
      <c r="S62" s="2" t="s">
        <v>314</v>
      </c>
      <c r="T62" s="2" t="s">
        <v>315</v>
      </c>
      <c r="U62" s="2" t="s">
        <v>323</v>
      </c>
      <c r="V62" s="2">
        <v>1</v>
      </c>
      <c r="W62" s="2">
        <v>1</v>
      </c>
      <c r="X62" s="2" t="s">
        <v>336</v>
      </c>
      <c r="Y62" s="2" t="s">
        <v>225</v>
      </c>
      <c r="Z62" s="2" t="s">
        <v>238</v>
      </c>
      <c r="AA62" s="2" t="s">
        <v>291</v>
      </c>
      <c r="AB62" s="2" t="s">
        <v>311</v>
      </c>
      <c r="AC62" s="2">
        <v>38658</v>
      </c>
      <c r="AD62" s="2" t="s">
        <v>390</v>
      </c>
      <c r="AE62" s="2">
        <f t="shared" si="0"/>
        <v>2</v>
      </c>
      <c r="AF62" s="2">
        <v>202601</v>
      </c>
    </row>
    <row r="63" spans="1:32" hidden="1" x14ac:dyDescent="0.3">
      <c r="A63" s="2">
        <v>89837612739</v>
      </c>
      <c r="B63" s="2">
        <v>1229</v>
      </c>
      <c r="C63" s="2" t="s">
        <v>32</v>
      </c>
      <c r="D63" s="2" t="s">
        <v>33</v>
      </c>
      <c r="E63" s="2" t="s">
        <v>36</v>
      </c>
      <c r="F63" s="2">
        <v>612739</v>
      </c>
      <c r="G63" s="2">
        <v>115816</v>
      </c>
      <c r="H63" s="2" t="s">
        <v>89</v>
      </c>
      <c r="I63" s="2">
        <v>202601</v>
      </c>
      <c r="J63" s="2">
        <v>-66</v>
      </c>
      <c r="K63" s="2" t="s">
        <v>168</v>
      </c>
      <c r="L63" s="2" t="s">
        <v>200</v>
      </c>
      <c r="M63" s="2" t="s">
        <v>226</v>
      </c>
      <c r="N63" s="2" t="s">
        <v>238</v>
      </c>
      <c r="O63" s="2" t="s">
        <v>243</v>
      </c>
      <c r="P63" s="2" t="s">
        <v>254</v>
      </c>
      <c r="Q63" s="2" t="s">
        <v>292</v>
      </c>
      <c r="R63" s="2" t="s">
        <v>302</v>
      </c>
      <c r="S63" s="2" t="s">
        <v>314</v>
      </c>
      <c r="T63" s="2" t="s">
        <v>315</v>
      </c>
      <c r="U63" s="2" t="s">
        <v>323</v>
      </c>
      <c r="V63" s="2">
        <v>1</v>
      </c>
      <c r="W63" s="2">
        <v>1</v>
      </c>
      <c r="X63" s="2" t="s">
        <v>336</v>
      </c>
      <c r="Y63" s="2" t="s">
        <v>226</v>
      </c>
      <c r="Z63" s="2" t="s">
        <v>238</v>
      </c>
      <c r="AA63" s="2" t="s">
        <v>292</v>
      </c>
      <c r="AB63" s="2" t="s">
        <v>302</v>
      </c>
      <c r="AC63" s="2">
        <v>38658</v>
      </c>
      <c r="AD63" s="2" t="s">
        <v>390</v>
      </c>
      <c r="AE63" s="2">
        <f t="shared" si="0"/>
        <v>2</v>
      </c>
      <c r="AF63" s="2">
        <v>202601</v>
      </c>
    </row>
    <row r="64" spans="1:32" hidden="1" x14ac:dyDescent="0.3">
      <c r="A64" s="2">
        <v>89847612758</v>
      </c>
      <c r="B64" s="2">
        <v>1203</v>
      </c>
      <c r="C64" s="2" t="s">
        <v>32</v>
      </c>
      <c r="D64" s="2" t="s">
        <v>33</v>
      </c>
      <c r="E64" s="2" t="s">
        <v>36</v>
      </c>
      <c r="F64" s="2">
        <v>612758</v>
      </c>
      <c r="G64" s="2">
        <v>119108</v>
      </c>
      <c r="H64" s="2" t="s">
        <v>90</v>
      </c>
      <c r="I64" s="2">
        <v>202601</v>
      </c>
      <c r="J64" s="2">
        <v>-20000</v>
      </c>
      <c r="K64" s="2" t="s">
        <v>169</v>
      </c>
      <c r="L64" s="2" t="s">
        <v>200</v>
      </c>
      <c r="M64" s="2" t="s">
        <v>205</v>
      </c>
      <c r="N64" s="2" t="s">
        <v>238</v>
      </c>
      <c r="O64" s="2" t="s">
        <v>243</v>
      </c>
      <c r="P64" s="2" t="s">
        <v>255</v>
      </c>
      <c r="Q64" s="2" t="s">
        <v>271</v>
      </c>
      <c r="R64" s="2" t="s">
        <v>303</v>
      </c>
      <c r="S64" s="2" t="s">
        <v>314</v>
      </c>
      <c r="T64" s="2" t="s">
        <v>315</v>
      </c>
      <c r="U64" s="2" t="s">
        <v>326</v>
      </c>
      <c r="V64" s="2">
        <v>1</v>
      </c>
      <c r="W64" s="2">
        <v>1</v>
      </c>
      <c r="X64" s="2" t="s">
        <v>336</v>
      </c>
      <c r="Y64" s="2" t="s">
        <v>205</v>
      </c>
      <c r="Z64" s="2" t="s">
        <v>238</v>
      </c>
      <c r="AA64" s="2" t="s">
        <v>271</v>
      </c>
      <c r="AB64" s="2" t="s">
        <v>303</v>
      </c>
      <c r="AC64" s="2">
        <v>38660</v>
      </c>
      <c r="AD64" s="2" t="s">
        <v>391</v>
      </c>
      <c r="AE64" s="2">
        <f t="shared" si="0"/>
        <v>1</v>
      </c>
      <c r="AF64" s="2">
        <v>202601</v>
      </c>
    </row>
    <row r="65" spans="1:32" hidden="1" x14ac:dyDescent="0.3">
      <c r="A65" s="2">
        <v>89848612760</v>
      </c>
      <c r="B65" s="2">
        <v>1207</v>
      </c>
      <c r="C65" s="2" t="s">
        <v>32</v>
      </c>
      <c r="D65" s="2" t="s">
        <v>33</v>
      </c>
      <c r="E65" s="2" t="s">
        <v>36</v>
      </c>
      <c r="F65" s="2">
        <v>612760</v>
      </c>
      <c r="G65" s="2">
        <v>116875</v>
      </c>
      <c r="H65" s="2" t="s">
        <v>88</v>
      </c>
      <c r="I65" s="2">
        <v>202601</v>
      </c>
      <c r="J65" s="2">
        <v>-245.62</v>
      </c>
      <c r="K65" s="2" t="s">
        <v>170</v>
      </c>
      <c r="L65" s="2" t="s">
        <v>200</v>
      </c>
      <c r="M65" s="2" t="s">
        <v>224</v>
      </c>
      <c r="N65" s="2" t="s">
        <v>238</v>
      </c>
      <c r="O65" s="2" t="s">
        <v>243</v>
      </c>
      <c r="P65" s="2" t="s">
        <v>264</v>
      </c>
      <c r="Q65" s="2" t="s">
        <v>290</v>
      </c>
      <c r="R65" s="2" t="s">
        <v>302</v>
      </c>
      <c r="S65" s="2" t="s">
        <v>314</v>
      </c>
      <c r="T65" s="2" t="s">
        <v>315</v>
      </c>
      <c r="U65" s="2" t="s">
        <v>324</v>
      </c>
      <c r="V65" s="2">
        <v>1</v>
      </c>
      <c r="W65" s="2">
        <v>1</v>
      </c>
      <c r="X65" s="2" t="s">
        <v>336</v>
      </c>
      <c r="Y65" s="2" t="s">
        <v>224</v>
      </c>
      <c r="Z65" s="2" t="s">
        <v>238</v>
      </c>
      <c r="AA65" s="2" t="s">
        <v>290</v>
      </c>
      <c r="AB65" s="2" t="s">
        <v>302</v>
      </c>
      <c r="AC65" s="2">
        <v>38661</v>
      </c>
      <c r="AD65" s="2" t="s">
        <v>392</v>
      </c>
      <c r="AE65" s="2">
        <f t="shared" si="0"/>
        <v>3</v>
      </c>
      <c r="AF65" s="2">
        <v>202601</v>
      </c>
    </row>
    <row r="66" spans="1:32" hidden="1" x14ac:dyDescent="0.3">
      <c r="A66" s="2">
        <v>89848612761</v>
      </c>
      <c r="B66" s="2">
        <v>1207</v>
      </c>
      <c r="C66" s="2" t="s">
        <v>32</v>
      </c>
      <c r="D66" s="2" t="s">
        <v>33</v>
      </c>
      <c r="E66" s="2" t="s">
        <v>36</v>
      </c>
      <c r="F66" s="2">
        <v>612761</v>
      </c>
      <c r="G66" s="2">
        <v>116875</v>
      </c>
      <c r="H66" s="2" t="s">
        <v>88</v>
      </c>
      <c r="I66" s="2">
        <v>202601</v>
      </c>
      <c r="J66" s="2">
        <v>-127.9</v>
      </c>
      <c r="K66" s="2" t="s">
        <v>170</v>
      </c>
      <c r="L66" s="2" t="s">
        <v>200</v>
      </c>
      <c r="M66" s="2" t="s">
        <v>227</v>
      </c>
      <c r="N66" s="2" t="s">
        <v>238</v>
      </c>
      <c r="O66" s="2" t="s">
        <v>243</v>
      </c>
      <c r="P66" s="2" t="s">
        <v>264</v>
      </c>
      <c r="Q66" s="2" t="s">
        <v>293</v>
      </c>
      <c r="R66" s="2" t="s">
        <v>302</v>
      </c>
      <c r="S66" s="2" t="s">
        <v>314</v>
      </c>
      <c r="T66" s="2" t="s">
        <v>315</v>
      </c>
      <c r="U66" s="2" t="s">
        <v>324</v>
      </c>
      <c r="V66" s="2">
        <v>1</v>
      </c>
      <c r="W66" s="2">
        <v>1</v>
      </c>
      <c r="X66" s="2" t="s">
        <v>336</v>
      </c>
      <c r="Y66" s="2" t="s">
        <v>227</v>
      </c>
      <c r="Z66" s="2" t="s">
        <v>238</v>
      </c>
      <c r="AA66" s="2" t="s">
        <v>293</v>
      </c>
      <c r="AB66" s="2" t="s">
        <v>302</v>
      </c>
      <c r="AC66" s="2">
        <v>38661</v>
      </c>
      <c r="AD66" s="2" t="s">
        <v>392</v>
      </c>
      <c r="AE66" s="2">
        <f t="shared" si="0"/>
        <v>3</v>
      </c>
      <c r="AF66" s="2">
        <v>202601</v>
      </c>
    </row>
    <row r="67" spans="1:32" hidden="1" x14ac:dyDescent="0.3">
      <c r="A67" s="2">
        <v>89848612763</v>
      </c>
      <c r="B67" s="2">
        <v>1207</v>
      </c>
      <c r="C67" s="2" t="s">
        <v>32</v>
      </c>
      <c r="D67" s="2" t="s">
        <v>33</v>
      </c>
      <c r="E67" s="2" t="s">
        <v>36</v>
      </c>
      <c r="F67" s="2">
        <v>612763</v>
      </c>
      <c r="H67" s="2" t="s">
        <v>88</v>
      </c>
      <c r="I67" s="2">
        <v>202601</v>
      </c>
      <c r="J67" s="2">
        <v>47.9</v>
      </c>
      <c r="K67" s="2" t="s">
        <v>170</v>
      </c>
      <c r="L67" s="2" t="s">
        <v>200</v>
      </c>
      <c r="M67" s="2" t="s">
        <v>228</v>
      </c>
      <c r="N67" s="2" t="s">
        <v>240</v>
      </c>
      <c r="O67" s="2" t="s">
        <v>250</v>
      </c>
      <c r="P67" s="2" t="s">
        <v>265</v>
      </c>
      <c r="Q67" s="2" t="s">
        <v>294</v>
      </c>
      <c r="R67" s="2" t="s">
        <v>250</v>
      </c>
      <c r="S67" s="2" t="s">
        <v>314</v>
      </c>
      <c r="T67" s="2" t="s">
        <v>315</v>
      </c>
      <c r="U67" s="2" t="s">
        <v>324</v>
      </c>
      <c r="V67" s="2">
        <v>1</v>
      </c>
      <c r="W67" s="2">
        <v>1</v>
      </c>
      <c r="X67" s="2" t="s">
        <v>336</v>
      </c>
      <c r="Y67" s="2" t="s">
        <v>228</v>
      </c>
      <c r="Z67" s="2" t="s">
        <v>240</v>
      </c>
      <c r="AA67" s="2" t="s">
        <v>294</v>
      </c>
      <c r="AB67" s="2" t="s">
        <v>250</v>
      </c>
      <c r="AC67" s="2">
        <v>38661</v>
      </c>
      <c r="AD67" s="2" t="s">
        <v>392</v>
      </c>
      <c r="AE67" s="2">
        <f t="shared" ref="AE67:AE101" si="1">COUNTIF(AD:AD,AD67)</f>
        <v>3</v>
      </c>
      <c r="AF67" s="2">
        <v>202601</v>
      </c>
    </row>
    <row r="68" spans="1:32" hidden="1" x14ac:dyDescent="0.3">
      <c r="A68" s="2">
        <v>89849612764</v>
      </c>
      <c r="B68" s="2">
        <v>1229</v>
      </c>
      <c r="C68" s="2" t="s">
        <v>32</v>
      </c>
      <c r="D68" s="2" t="s">
        <v>33</v>
      </c>
      <c r="E68" s="2" t="s">
        <v>36</v>
      </c>
      <c r="F68" s="2">
        <v>612764</v>
      </c>
      <c r="G68" s="2">
        <v>112052</v>
      </c>
      <c r="H68" s="2" t="s">
        <v>91</v>
      </c>
      <c r="I68" s="2">
        <v>202601</v>
      </c>
      <c r="J68" s="2">
        <v>-8403.4</v>
      </c>
      <c r="K68" s="2" t="s">
        <v>171</v>
      </c>
      <c r="L68" s="2" t="s">
        <v>200</v>
      </c>
      <c r="M68" s="2" t="s">
        <v>229</v>
      </c>
      <c r="N68" s="2" t="s">
        <v>238</v>
      </c>
      <c r="O68" s="2" t="s">
        <v>251</v>
      </c>
      <c r="P68" s="2" t="s">
        <v>266</v>
      </c>
      <c r="Q68" s="2" t="s">
        <v>276</v>
      </c>
      <c r="R68" s="2" t="s">
        <v>312</v>
      </c>
      <c r="S68" s="2" t="s">
        <v>314</v>
      </c>
      <c r="T68" s="2" t="s">
        <v>315</v>
      </c>
      <c r="U68" s="2" t="s">
        <v>323</v>
      </c>
      <c r="V68" s="2">
        <v>1</v>
      </c>
      <c r="W68" s="2">
        <v>1</v>
      </c>
      <c r="X68" s="2" t="s">
        <v>336</v>
      </c>
      <c r="Y68" s="2" t="s">
        <v>229</v>
      </c>
      <c r="Z68" s="2" t="s">
        <v>238</v>
      </c>
      <c r="AA68" s="2" t="s">
        <v>276</v>
      </c>
      <c r="AB68" s="2" t="s">
        <v>312</v>
      </c>
      <c r="AC68" s="2">
        <v>38662</v>
      </c>
      <c r="AD68" s="2" t="s">
        <v>393</v>
      </c>
      <c r="AE68" s="2">
        <f t="shared" si="1"/>
        <v>5</v>
      </c>
      <c r="AF68" s="2">
        <v>202601</v>
      </c>
    </row>
    <row r="69" spans="1:32" hidden="1" x14ac:dyDescent="0.3">
      <c r="A69" s="2">
        <v>89849612765</v>
      </c>
      <c r="B69" s="2">
        <v>1229</v>
      </c>
      <c r="C69" s="2" t="s">
        <v>32</v>
      </c>
      <c r="D69" s="2" t="s">
        <v>33</v>
      </c>
      <c r="E69" s="2" t="s">
        <v>36</v>
      </c>
      <c r="F69" s="2">
        <v>612765</v>
      </c>
      <c r="G69" s="2">
        <v>112052</v>
      </c>
      <c r="H69" s="2" t="s">
        <v>91</v>
      </c>
      <c r="I69" s="2">
        <v>202601</v>
      </c>
      <c r="J69" s="2">
        <v>-3400</v>
      </c>
      <c r="K69" s="2" t="s">
        <v>171</v>
      </c>
      <c r="L69" s="2" t="s">
        <v>200</v>
      </c>
      <c r="M69" s="2" t="s">
        <v>221</v>
      </c>
      <c r="N69" s="2" t="s">
        <v>237</v>
      </c>
      <c r="O69" s="2" t="s">
        <v>243</v>
      </c>
      <c r="P69" s="2" t="s">
        <v>263</v>
      </c>
      <c r="Q69" s="2" t="s">
        <v>287</v>
      </c>
      <c r="R69" s="2" t="s">
        <v>306</v>
      </c>
      <c r="S69" s="2" t="s">
        <v>314</v>
      </c>
      <c r="T69" s="2" t="s">
        <v>315</v>
      </c>
      <c r="U69" s="2" t="s">
        <v>323</v>
      </c>
      <c r="V69" s="2">
        <v>1</v>
      </c>
      <c r="W69" s="2">
        <v>1</v>
      </c>
      <c r="X69" s="2" t="s">
        <v>336</v>
      </c>
      <c r="Y69" s="2" t="s">
        <v>221</v>
      </c>
      <c r="Z69" s="2" t="s">
        <v>237</v>
      </c>
      <c r="AA69" s="2" t="s">
        <v>287</v>
      </c>
      <c r="AB69" s="2" t="s">
        <v>306</v>
      </c>
      <c r="AC69" s="2">
        <v>38662</v>
      </c>
      <c r="AD69" s="2" t="s">
        <v>393</v>
      </c>
      <c r="AE69" s="2">
        <f t="shared" si="1"/>
        <v>5</v>
      </c>
      <c r="AF69" s="2">
        <v>202601</v>
      </c>
    </row>
    <row r="70" spans="1:32" hidden="1" x14ac:dyDescent="0.3">
      <c r="A70" s="2">
        <v>89849612766</v>
      </c>
      <c r="B70" s="2">
        <v>1229</v>
      </c>
      <c r="C70" s="2" t="s">
        <v>32</v>
      </c>
      <c r="D70" s="2" t="s">
        <v>33</v>
      </c>
      <c r="E70" s="2" t="s">
        <v>36</v>
      </c>
      <c r="F70" s="2">
        <v>612766</v>
      </c>
      <c r="G70" s="2">
        <v>112052</v>
      </c>
      <c r="H70" s="2" t="s">
        <v>91</v>
      </c>
      <c r="I70" s="2">
        <v>202601</v>
      </c>
      <c r="J70" s="2">
        <v>-1477.28</v>
      </c>
      <c r="K70" s="2" t="s">
        <v>171</v>
      </c>
      <c r="L70" s="2" t="s">
        <v>200</v>
      </c>
      <c r="M70" s="2" t="s">
        <v>230</v>
      </c>
      <c r="N70" s="2" t="s">
        <v>238</v>
      </c>
      <c r="O70" s="2" t="s">
        <v>242</v>
      </c>
      <c r="P70" s="2" t="s">
        <v>253</v>
      </c>
      <c r="Q70" s="2" t="s">
        <v>295</v>
      </c>
      <c r="R70" s="2" t="s">
        <v>302</v>
      </c>
      <c r="S70" s="2" t="s">
        <v>314</v>
      </c>
      <c r="T70" s="2" t="s">
        <v>315</v>
      </c>
      <c r="U70" s="2" t="s">
        <v>323</v>
      </c>
      <c r="V70" s="2">
        <v>1</v>
      </c>
      <c r="W70" s="2">
        <v>1</v>
      </c>
      <c r="X70" s="2" t="s">
        <v>336</v>
      </c>
      <c r="Y70" s="2" t="s">
        <v>230</v>
      </c>
      <c r="Z70" s="2" t="s">
        <v>238</v>
      </c>
      <c r="AA70" s="2" t="s">
        <v>295</v>
      </c>
      <c r="AB70" s="2" t="s">
        <v>302</v>
      </c>
      <c r="AC70" s="2">
        <v>38662</v>
      </c>
      <c r="AD70" s="2" t="s">
        <v>393</v>
      </c>
      <c r="AE70" s="2">
        <f t="shared" si="1"/>
        <v>5</v>
      </c>
      <c r="AF70" s="2">
        <v>202601</v>
      </c>
    </row>
    <row r="71" spans="1:32" hidden="1" x14ac:dyDescent="0.3">
      <c r="A71" s="2">
        <v>89849612767</v>
      </c>
      <c r="B71" s="2">
        <v>1229</v>
      </c>
      <c r="C71" s="2" t="s">
        <v>32</v>
      </c>
      <c r="D71" s="2" t="s">
        <v>33</v>
      </c>
      <c r="E71" s="2" t="s">
        <v>36</v>
      </c>
      <c r="F71" s="2">
        <v>612767</v>
      </c>
      <c r="G71" s="2">
        <v>112052</v>
      </c>
      <c r="H71" s="2" t="s">
        <v>91</v>
      </c>
      <c r="I71" s="2">
        <v>202601</v>
      </c>
      <c r="J71" s="2">
        <v>-1414.6</v>
      </c>
      <c r="K71" s="2" t="s">
        <v>171</v>
      </c>
      <c r="L71" s="2" t="s">
        <v>200</v>
      </c>
      <c r="M71" s="2" t="s">
        <v>202</v>
      </c>
      <c r="N71" s="2" t="s">
        <v>238</v>
      </c>
      <c r="O71" s="2" t="s">
        <v>242</v>
      </c>
      <c r="P71" s="2" t="s">
        <v>253</v>
      </c>
      <c r="Q71" s="2" t="s">
        <v>268</v>
      </c>
      <c r="R71" s="2" t="s">
        <v>302</v>
      </c>
      <c r="S71" s="2" t="s">
        <v>314</v>
      </c>
      <c r="T71" s="2" t="s">
        <v>315</v>
      </c>
      <c r="U71" s="2" t="s">
        <v>323</v>
      </c>
      <c r="V71" s="2">
        <v>1</v>
      </c>
      <c r="W71" s="2">
        <v>1</v>
      </c>
      <c r="X71" s="2" t="s">
        <v>336</v>
      </c>
      <c r="Y71" s="2" t="s">
        <v>202</v>
      </c>
      <c r="Z71" s="2" t="s">
        <v>238</v>
      </c>
      <c r="AA71" s="2" t="s">
        <v>268</v>
      </c>
      <c r="AB71" s="2" t="s">
        <v>302</v>
      </c>
      <c r="AC71" s="2">
        <v>38662</v>
      </c>
      <c r="AD71" s="2" t="s">
        <v>393</v>
      </c>
      <c r="AE71" s="2">
        <f t="shared" si="1"/>
        <v>5</v>
      </c>
      <c r="AF71" s="2">
        <v>202601</v>
      </c>
    </row>
    <row r="72" spans="1:32" hidden="1" x14ac:dyDescent="0.3">
      <c r="A72" s="2">
        <v>89849612768</v>
      </c>
      <c r="B72" s="2">
        <v>1229</v>
      </c>
      <c r="C72" s="2" t="s">
        <v>32</v>
      </c>
      <c r="D72" s="2" t="s">
        <v>33</v>
      </c>
      <c r="E72" s="2" t="s">
        <v>36</v>
      </c>
      <c r="F72" s="2">
        <v>612768</v>
      </c>
      <c r="G72" s="2">
        <v>112052</v>
      </c>
      <c r="H72" s="2" t="s">
        <v>91</v>
      </c>
      <c r="I72" s="2">
        <v>202601</v>
      </c>
      <c r="J72" s="2">
        <v>-391.96</v>
      </c>
      <c r="K72" s="2" t="s">
        <v>171</v>
      </c>
      <c r="L72" s="2" t="s">
        <v>200</v>
      </c>
      <c r="M72" s="2" t="s">
        <v>217</v>
      </c>
      <c r="N72" s="2" t="s">
        <v>238</v>
      </c>
      <c r="O72" s="2" t="s">
        <v>243</v>
      </c>
      <c r="P72" s="2" t="s">
        <v>254</v>
      </c>
      <c r="Q72" s="2" t="s">
        <v>283</v>
      </c>
      <c r="R72" s="2" t="s">
        <v>302</v>
      </c>
      <c r="S72" s="2" t="s">
        <v>314</v>
      </c>
      <c r="T72" s="2" t="s">
        <v>315</v>
      </c>
      <c r="U72" s="2" t="s">
        <v>323</v>
      </c>
      <c r="V72" s="2">
        <v>1</v>
      </c>
      <c r="W72" s="2">
        <v>1</v>
      </c>
      <c r="X72" s="2" t="s">
        <v>336</v>
      </c>
      <c r="Y72" s="2" t="s">
        <v>217</v>
      </c>
      <c r="Z72" s="2" t="s">
        <v>238</v>
      </c>
      <c r="AA72" s="2" t="s">
        <v>283</v>
      </c>
      <c r="AB72" s="2" t="s">
        <v>302</v>
      </c>
      <c r="AC72" s="2">
        <v>38662</v>
      </c>
      <c r="AD72" s="2" t="s">
        <v>393</v>
      </c>
      <c r="AE72" s="2">
        <f t="shared" si="1"/>
        <v>5</v>
      </c>
      <c r="AF72" s="2">
        <v>202601</v>
      </c>
    </row>
    <row r="73" spans="1:32" hidden="1" x14ac:dyDescent="0.3">
      <c r="A73" s="2">
        <v>89850612770</v>
      </c>
      <c r="B73" s="2">
        <v>1203</v>
      </c>
      <c r="C73" s="2" t="s">
        <v>32</v>
      </c>
      <c r="D73" s="2" t="s">
        <v>33</v>
      </c>
      <c r="E73" s="2" t="s">
        <v>36</v>
      </c>
      <c r="F73" s="2">
        <v>612770</v>
      </c>
      <c r="G73" s="2">
        <v>119297</v>
      </c>
      <c r="H73" s="2" t="s">
        <v>92</v>
      </c>
      <c r="I73" s="2">
        <v>202601</v>
      </c>
      <c r="J73" s="2">
        <v>-22000</v>
      </c>
      <c r="K73" s="2" t="s">
        <v>172</v>
      </c>
      <c r="L73" s="2" t="s">
        <v>200</v>
      </c>
      <c r="M73" s="2" t="s">
        <v>205</v>
      </c>
      <c r="N73" s="2" t="s">
        <v>238</v>
      </c>
      <c r="O73" s="2" t="s">
        <v>243</v>
      </c>
      <c r="P73" s="2" t="s">
        <v>255</v>
      </c>
      <c r="Q73" s="2" t="s">
        <v>271</v>
      </c>
      <c r="R73" s="2" t="s">
        <v>303</v>
      </c>
      <c r="S73" s="2" t="s">
        <v>314</v>
      </c>
      <c r="T73" s="2" t="s">
        <v>315</v>
      </c>
      <c r="U73" s="2" t="s">
        <v>316</v>
      </c>
      <c r="V73" s="2">
        <v>1</v>
      </c>
      <c r="W73" s="2">
        <v>1</v>
      </c>
      <c r="X73" s="2" t="s">
        <v>336</v>
      </c>
      <c r="Y73" s="2" t="s">
        <v>205</v>
      </c>
      <c r="Z73" s="2" t="s">
        <v>238</v>
      </c>
      <c r="AA73" s="2" t="s">
        <v>271</v>
      </c>
      <c r="AB73" s="2" t="s">
        <v>303</v>
      </c>
      <c r="AC73" s="2">
        <v>38664</v>
      </c>
      <c r="AD73" s="2" t="s">
        <v>394</v>
      </c>
      <c r="AE73" s="2">
        <f t="shared" si="1"/>
        <v>1</v>
      </c>
      <c r="AF73" s="2">
        <v>202601</v>
      </c>
    </row>
    <row r="74" spans="1:32" hidden="1" x14ac:dyDescent="0.3">
      <c r="A74" s="2">
        <v>89851612772</v>
      </c>
      <c r="B74" s="2">
        <v>1201</v>
      </c>
      <c r="C74" s="2" t="s">
        <v>32</v>
      </c>
      <c r="D74" s="2" t="s">
        <v>33</v>
      </c>
      <c r="E74" s="2" t="s">
        <v>36</v>
      </c>
      <c r="F74" s="2">
        <v>612772</v>
      </c>
      <c r="G74" s="2" t="s">
        <v>37</v>
      </c>
      <c r="H74" s="2" t="s">
        <v>75</v>
      </c>
      <c r="I74" s="2">
        <v>202601</v>
      </c>
      <c r="J74" s="2">
        <v>-8490.33</v>
      </c>
      <c r="K74" s="2" t="s">
        <v>173</v>
      </c>
      <c r="L74" s="2" t="s">
        <v>200</v>
      </c>
      <c r="M74" s="2" t="s">
        <v>231</v>
      </c>
      <c r="N74" s="2" t="s">
        <v>237</v>
      </c>
      <c r="O74" s="2" t="s">
        <v>242</v>
      </c>
      <c r="P74" s="2" t="s">
        <v>253</v>
      </c>
      <c r="Q74" s="2" t="s">
        <v>296</v>
      </c>
      <c r="R74" s="2" t="s">
        <v>313</v>
      </c>
      <c r="S74" s="2" t="s">
        <v>314</v>
      </c>
      <c r="T74" s="2" t="s">
        <v>315</v>
      </c>
      <c r="U74" s="2" t="s">
        <v>331</v>
      </c>
      <c r="V74" s="2">
        <v>1</v>
      </c>
      <c r="W74" s="2">
        <v>1</v>
      </c>
      <c r="X74" s="2" t="s">
        <v>335</v>
      </c>
      <c r="Y74" s="2" t="s">
        <v>231</v>
      </c>
      <c r="Z74" s="2" t="s">
        <v>237</v>
      </c>
      <c r="AA74" s="2" t="s">
        <v>296</v>
      </c>
      <c r="AB74" s="2" t="s">
        <v>313</v>
      </c>
      <c r="AC74" s="2">
        <v>38666</v>
      </c>
      <c r="AD74" s="2" t="s">
        <v>395</v>
      </c>
      <c r="AE74" s="2">
        <f t="shared" si="1"/>
        <v>1</v>
      </c>
      <c r="AF74" s="2">
        <v>202601</v>
      </c>
    </row>
    <row r="75" spans="1:32" hidden="1" x14ac:dyDescent="0.3">
      <c r="A75" s="2">
        <v>89852612774</v>
      </c>
      <c r="B75" s="2">
        <v>1203</v>
      </c>
      <c r="C75" s="2" t="s">
        <v>32</v>
      </c>
      <c r="D75" s="2" t="s">
        <v>33</v>
      </c>
      <c r="E75" s="2" t="s">
        <v>36</v>
      </c>
      <c r="F75" s="2">
        <v>612774</v>
      </c>
      <c r="G75" s="2">
        <v>89407</v>
      </c>
      <c r="H75" s="2" t="s">
        <v>93</v>
      </c>
      <c r="I75" s="2">
        <v>202601</v>
      </c>
      <c r="J75" s="2">
        <v>-420</v>
      </c>
      <c r="K75" s="2" t="s">
        <v>174</v>
      </c>
      <c r="L75" s="2" t="s">
        <v>200</v>
      </c>
      <c r="M75" s="2" t="s">
        <v>204</v>
      </c>
      <c r="N75" s="2" t="s">
        <v>239</v>
      </c>
      <c r="O75" s="2" t="s">
        <v>244</v>
      </c>
      <c r="P75" s="2" t="s">
        <v>244</v>
      </c>
      <c r="Q75" s="2" t="s">
        <v>270</v>
      </c>
      <c r="R75" s="2" t="s">
        <v>239</v>
      </c>
      <c r="S75" s="2" t="s">
        <v>314</v>
      </c>
      <c r="T75" s="2" t="s">
        <v>315</v>
      </c>
      <c r="U75" s="2" t="s">
        <v>318</v>
      </c>
      <c r="V75" s="2">
        <v>1</v>
      </c>
      <c r="W75" s="2">
        <v>1</v>
      </c>
      <c r="X75" s="2" t="s">
        <v>335</v>
      </c>
      <c r="Y75" s="2" t="s">
        <v>204</v>
      </c>
      <c r="Z75" s="2" t="s">
        <v>239</v>
      </c>
      <c r="AA75" s="2" t="s">
        <v>270</v>
      </c>
      <c r="AB75" s="2" t="s">
        <v>239</v>
      </c>
      <c r="AC75" s="2">
        <v>38668</v>
      </c>
      <c r="AD75" s="2" t="s">
        <v>396</v>
      </c>
      <c r="AE75" s="2">
        <f t="shared" si="1"/>
        <v>1</v>
      </c>
      <c r="AF75" s="2">
        <v>202601</v>
      </c>
    </row>
    <row r="76" spans="1:32" hidden="1" x14ac:dyDescent="0.3">
      <c r="A76" s="2">
        <v>89853612776</v>
      </c>
      <c r="B76" s="2">
        <v>1201</v>
      </c>
      <c r="C76" s="2" t="s">
        <v>32</v>
      </c>
      <c r="D76" s="2" t="s">
        <v>33</v>
      </c>
      <c r="E76" s="2" t="s">
        <v>36</v>
      </c>
      <c r="F76" s="2">
        <v>612776</v>
      </c>
      <c r="G76" s="2">
        <v>119200</v>
      </c>
      <c r="H76" s="2" t="s">
        <v>94</v>
      </c>
      <c r="I76" s="2">
        <v>202601</v>
      </c>
      <c r="J76" s="2">
        <v>-23993.75</v>
      </c>
      <c r="K76" s="2" t="s">
        <v>175</v>
      </c>
      <c r="L76" s="2" t="s">
        <v>200</v>
      </c>
      <c r="M76" s="2" t="s">
        <v>204</v>
      </c>
      <c r="N76" s="2" t="s">
        <v>239</v>
      </c>
      <c r="O76" s="2" t="s">
        <v>244</v>
      </c>
      <c r="P76" s="2" t="s">
        <v>244</v>
      </c>
      <c r="Q76" s="2" t="s">
        <v>270</v>
      </c>
      <c r="R76" s="2" t="s">
        <v>239</v>
      </c>
      <c r="S76" s="2" t="s">
        <v>314</v>
      </c>
      <c r="T76" s="2" t="s">
        <v>315</v>
      </c>
      <c r="U76" s="2" t="s">
        <v>319</v>
      </c>
      <c r="V76" s="2">
        <v>1</v>
      </c>
      <c r="W76" s="2">
        <v>1</v>
      </c>
      <c r="X76" s="2" t="s">
        <v>336</v>
      </c>
      <c r="Y76" s="2" t="s">
        <v>204</v>
      </c>
      <c r="Z76" s="2" t="s">
        <v>239</v>
      </c>
      <c r="AA76" s="2" t="s">
        <v>270</v>
      </c>
      <c r="AB76" s="2" t="s">
        <v>239</v>
      </c>
      <c r="AC76" s="2">
        <v>38669</v>
      </c>
      <c r="AD76" s="2" t="s">
        <v>397</v>
      </c>
      <c r="AE76" s="2">
        <f t="shared" si="1"/>
        <v>1</v>
      </c>
      <c r="AF76" s="2">
        <v>202601</v>
      </c>
    </row>
    <row r="77" spans="1:32" hidden="1" x14ac:dyDescent="0.3">
      <c r="A77" s="2">
        <v>89854612778</v>
      </c>
      <c r="B77" s="2">
        <v>1203</v>
      </c>
      <c r="C77" s="2" t="s">
        <v>32</v>
      </c>
      <c r="D77" s="2" t="s">
        <v>33</v>
      </c>
      <c r="E77" s="2" t="s">
        <v>36</v>
      </c>
      <c r="F77" s="2">
        <v>612778</v>
      </c>
      <c r="G77" s="2">
        <v>119155</v>
      </c>
      <c r="H77" s="2" t="s">
        <v>95</v>
      </c>
      <c r="I77" s="2">
        <v>202601</v>
      </c>
      <c r="J77" s="2">
        <v>-29498</v>
      </c>
      <c r="K77" s="2" t="s">
        <v>176</v>
      </c>
      <c r="L77" s="2" t="s">
        <v>200</v>
      </c>
      <c r="M77" s="2" t="s">
        <v>205</v>
      </c>
      <c r="N77" s="2" t="s">
        <v>238</v>
      </c>
      <c r="O77" s="2" t="s">
        <v>243</v>
      </c>
      <c r="P77" s="2" t="s">
        <v>255</v>
      </c>
      <c r="Q77" s="2" t="s">
        <v>271</v>
      </c>
      <c r="R77" s="2" t="s">
        <v>303</v>
      </c>
      <c r="S77" s="2" t="s">
        <v>314</v>
      </c>
      <c r="T77" s="2" t="s">
        <v>315</v>
      </c>
      <c r="U77" s="2" t="s">
        <v>326</v>
      </c>
      <c r="V77" s="2">
        <v>1</v>
      </c>
      <c r="W77" s="2">
        <v>1</v>
      </c>
      <c r="X77" s="2" t="s">
        <v>336</v>
      </c>
      <c r="Y77" s="2" t="s">
        <v>205</v>
      </c>
      <c r="Z77" s="2" t="s">
        <v>238</v>
      </c>
      <c r="AA77" s="2" t="s">
        <v>271</v>
      </c>
      <c r="AB77" s="2" t="s">
        <v>303</v>
      </c>
      <c r="AC77" s="2">
        <v>38671</v>
      </c>
      <c r="AD77" s="2" t="s">
        <v>398</v>
      </c>
      <c r="AE77" s="2">
        <f t="shared" si="1"/>
        <v>1</v>
      </c>
      <c r="AF77" s="2">
        <v>202601</v>
      </c>
    </row>
    <row r="78" spans="1:32" hidden="1" x14ac:dyDescent="0.3">
      <c r="A78" s="2">
        <v>89855612780</v>
      </c>
      <c r="B78" s="2">
        <v>1210</v>
      </c>
      <c r="C78" s="2" t="s">
        <v>32</v>
      </c>
      <c r="D78" s="2" t="s">
        <v>33</v>
      </c>
      <c r="E78" s="2" t="s">
        <v>36</v>
      </c>
      <c r="F78" s="2">
        <v>612780</v>
      </c>
      <c r="G78" s="2">
        <v>117992</v>
      </c>
      <c r="H78" s="2" t="s">
        <v>96</v>
      </c>
      <c r="I78" s="2">
        <v>202601</v>
      </c>
      <c r="J78" s="2">
        <v>-18883.86</v>
      </c>
      <c r="K78" s="2" t="s">
        <v>177</v>
      </c>
      <c r="L78" s="2" t="s">
        <v>200</v>
      </c>
      <c r="M78" s="2" t="s">
        <v>216</v>
      </c>
      <c r="N78" s="2" t="s">
        <v>238</v>
      </c>
      <c r="O78" s="2" t="s">
        <v>247</v>
      </c>
      <c r="P78" s="2" t="s">
        <v>258</v>
      </c>
      <c r="Q78" s="2" t="s">
        <v>282</v>
      </c>
      <c r="R78" s="2" t="s">
        <v>309</v>
      </c>
      <c r="S78" s="2" t="s">
        <v>314</v>
      </c>
      <c r="T78" s="2" t="s">
        <v>315</v>
      </c>
      <c r="U78" s="2" t="s">
        <v>332</v>
      </c>
      <c r="V78" s="2">
        <v>1</v>
      </c>
      <c r="W78" s="2">
        <v>1</v>
      </c>
      <c r="X78" s="2" t="s">
        <v>336</v>
      </c>
      <c r="Y78" s="2" t="s">
        <v>216</v>
      </c>
      <c r="Z78" s="2" t="s">
        <v>238</v>
      </c>
      <c r="AA78" s="2" t="s">
        <v>282</v>
      </c>
      <c r="AB78" s="2" t="s">
        <v>309</v>
      </c>
      <c r="AC78" s="2">
        <v>38672</v>
      </c>
      <c r="AD78" s="2" t="s">
        <v>399</v>
      </c>
      <c r="AE78" s="2">
        <f t="shared" si="1"/>
        <v>1</v>
      </c>
      <c r="AF78" s="2">
        <v>202601</v>
      </c>
    </row>
    <row r="79" spans="1:32" hidden="1" x14ac:dyDescent="0.3">
      <c r="A79" s="2">
        <v>89856612782</v>
      </c>
      <c r="B79" s="2">
        <v>1207</v>
      </c>
      <c r="C79" s="2" t="s">
        <v>32</v>
      </c>
      <c r="D79" s="2" t="s">
        <v>33</v>
      </c>
      <c r="E79" s="2" t="s">
        <v>36</v>
      </c>
      <c r="F79" s="2">
        <v>612782</v>
      </c>
      <c r="G79" s="2">
        <v>117173</v>
      </c>
      <c r="H79" s="2" t="s">
        <v>97</v>
      </c>
      <c r="I79" s="2">
        <v>202601</v>
      </c>
      <c r="J79" s="2">
        <v>-644.12</v>
      </c>
      <c r="K79" s="2" t="s">
        <v>178</v>
      </c>
      <c r="L79" s="2" t="s">
        <v>200</v>
      </c>
      <c r="M79" s="2" t="s">
        <v>217</v>
      </c>
      <c r="N79" s="2" t="s">
        <v>238</v>
      </c>
      <c r="O79" s="2" t="s">
        <v>243</v>
      </c>
      <c r="P79" s="2" t="s">
        <v>254</v>
      </c>
      <c r="Q79" s="2" t="s">
        <v>283</v>
      </c>
      <c r="R79" s="2" t="s">
        <v>302</v>
      </c>
      <c r="S79" s="2" t="s">
        <v>314</v>
      </c>
      <c r="T79" s="2" t="s">
        <v>315</v>
      </c>
      <c r="U79" s="2" t="s">
        <v>323</v>
      </c>
      <c r="V79" s="2">
        <v>1</v>
      </c>
      <c r="W79" s="2">
        <v>1</v>
      </c>
      <c r="X79" s="2" t="s">
        <v>336</v>
      </c>
      <c r="Y79" s="2" t="s">
        <v>217</v>
      </c>
      <c r="Z79" s="2" t="s">
        <v>238</v>
      </c>
      <c r="AA79" s="2" t="s">
        <v>283</v>
      </c>
      <c r="AB79" s="2" t="s">
        <v>302</v>
      </c>
      <c r="AC79" s="2">
        <v>38673</v>
      </c>
      <c r="AD79" s="2" t="s">
        <v>400</v>
      </c>
      <c r="AE79" s="2">
        <f t="shared" si="1"/>
        <v>1</v>
      </c>
      <c r="AF79" s="2">
        <v>202601</v>
      </c>
    </row>
    <row r="80" spans="1:32" hidden="1" x14ac:dyDescent="0.3">
      <c r="A80" s="2">
        <v>89857612784</v>
      </c>
      <c r="B80" s="2">
        <v>1207</v>
      </c>
      <c r="C80" s="2" t="s">
        <v>32</v>
      </c>
      <c r="D80" s="2" t="s">
        <v>33</v>
      </c>
      <c r="E80" s="2" t="s">
        <v>36</v>
      </c>
      <c r="F80" s="2">
        <v>612784</v>
      </c>
      <c r="G80" s="2">
        <v>119293</v>
      </c>
      <c r="H80" s="2" t="s">
        <v>98</v>
      </c>
      <c r="I80" s="2">
        <v>202601</v>
      </c>
      <c r="J80" s="2">
        <v>-433.67</v>
      </c>
      <c r="K80" s="2" t="s">
        <v>179</v>
      </c>
      <c r="L80" s="2" t="s">
        <v>200</v>
      </c>
      <c r="M80" s="2" t="s">
        <v>218</v>
      </c>
      <c r="N80" s="2" t="s">
        <v>238</v>
      </c>
      <c r="O80" s="2" t="s">
        <v>246</v>
      </c>
      <c r="P80" s="2" t="s">
        <v>246</v>
      </c>
      <c r="Q80" s="2" t="s">
        <v>284</v>
      </c>
      <c r="R80" s="2" t="s">
        <v>302</v>
      </c>
      <c r="S80" s="2" t="s">
        <v>314</v>
      </c>
      <c r="T80" s="2" t="s">
        <v>315</v>
      </c>
      <c r="U80" s="2" t="s">
        <v>333</v>
      </c>
      <c r="V80" s="2">
        <v>1</v>
      </c>
      <c r="W80" s="2">
        <v>1</v>
      </c>
      <c r="X80" s="2" t="s">
        <v>336</v>
      </c>
      <c r="Y80" s="2" t="s">
        <v>218</v>
      </c>
      <c r="Z80" s="2" t="s">
        <v>238</v>
      </c>
      <c r="AA80" s="2" t="s">
        <v>284</v>
      </c>
      <c r="AB80" s="2" t="s">
        <v>302</v>
      </c>
      <c r="AC80" s="2">
        <v>38674</v>
      </c>
      <c r="AD80" s="2" t="s">
        <v>401</v>
      </c>
      <c r="AE80" s="2">
        <f t="shared" si="1"/>
        <v>1</v>
      </c>
      <c r="AF80" s="2">
        <v>202601</v>
      </c>
    </row>
    <row r="81" spans="1:32" hidden="1" x14ac:dyDescent="0.3">
      <c r="A81" s="2">
        <v>89858612786</v>
      </c>
      <c r="B81" s="2">
        <v>1207</v>
      </c>
      <c r="C81" s="2" t="s">
        <v>32</v>
      </c>
      <c r="D81" s="2" t="s">
        <v>34</v>
      </c>
      <c r="E81" s="2" t="s">
        <v>36</v>
      </c>
      <c r="F81" s="2">
        <v>612786</v>
      </c>
      <c r="G81" s="2">
        <v>116342</v>
      </c>
      <c r="H81" s="2" t="s">
        <v>99</v>
      </c>
      <c r="I81" s="2">
        <v>202601</v>
      </c>
      <c r="J81" s="2">
        <v>-290</v>
      </c>
      <c r="K81" s="2" t="s">
        <v>180</v>
      </c>
      <c r="L81" s="2" t="s">
        <v>200</v>
      </c>
      <c r="M81" s="2" t="s">
        <v>232</v>
      </c>
      <c r="N81" s="2" t="s">
        <v>238</v>
      </c>
      <c r="O81" s="2" t="s">
        <v>243</v>
      </c>
      <c r="P81" s="2" t="s">
        <v>261</v>
      </c>
      <c r="Q81" s="2" t="s">
        <v>297</v>
      </c>
      <c r="R81" s="2" t="s">
        <v>310</v>
      </c>
      <c r="S81" s="2" t="s">
        <v>314</v>
      </c>
      <c r="T81" s="2" t="s">
        <v>315</v>
      </c>
      <c r="U81" s="2" t="s">
        <v>318</v>
      </c>
      <c r="V81" s="2">
        <v>1</v>
      </c>
      <c r="W81" s="2">
        <v>2</v>
      </c>
      <c r="X81" s="2" t="s">
        <v>336</v>
      </c>
      <c r="Y81" s="2" t="s">
        <v>232</v>
      </c>
      <c r="Z81" s="2" t="s">
        <v>238</v>
      </c>
      <c r="AA81" s="2" t="s">
        <v>297</v>
      </c>
      <c r="AB81" s="2" t="s">
        <v>310</v>
      </c>
      <c r="AC81" s="2">
        <v>38676</v>
      </c>
      <c r="AD81" s="2" t="s">
        <v>402</v>
      </c>
      <c r="AE81" s="2">
        <f t="shared" si="1"/>
        <v>1</v>
      </c>
      <c r="AF81" s="2">
        <v>202601</v>
      </c>
    </row>
    <row r="82" spans="1:32" hidden="1" x14ac:dyDescent="0.3">
      <c r="A82" s="2">
        <v>89872612816</v>
      </c>
      <c r="B82" s="2">
        <v>1201</v>
      </c>
      <c r="C82" s="2" t="s">
        <v>32</v>
      </c>
      <c r="D82" s="2" t="s">
        <v>33</v>
      </c>
      <c r="E82" s="2" t="s">
        <v>36</v>
      </c>
      <c r="F82" s="2">
        <v>612816</v>
      </c>
      <c r="G82" s="2">
        <v>112824</v>
      </c>
      <c r="H82" s="2" t="s">
        <v>100</v>
      </c>
      <c r="I82" s="2">
        <v>202601</v>
      </c>
      <c r="J82" s="2">
        <v>-3252.54</v>
      </c>
      <c r="K82" s="2" t="s">
        <v>181</v>
      </c>
      <c r="L82" s="2" t="s">
        <v>200</v>
      </c>
      <c r="M82" s="2" t="s">
        <v>233</v>
      </c>
      <c r="N82" s="2" t="s">
        <v>238</v>
      </c>
      <c r="O82" s="2" t="s">
        <v>242</v>
      </c>
      <c r="P82" s="2" t="s">
        <v>253</v>
      </c>
      <c r="Q82" s="2" t="s">
        <v>298</v>
      </c>
      <c r="R82" s="2" t="s">
        <v>310</v>
      </c>
      <c r="S82" s="2" t="s">
        <v>314</v>
      </c>
      <c r="T82" s="2" t="s">
        <v>315</v>
      </c>
      <c r="U82" s="2" t="s">
        <v>318</v>
      </c>
      <c r="V82" s="2">
        <v>1</v>
      </c>
      <c r="W82" s="2">
        <v>1</v>
      </c>
      <c r="X82" s="2" t="s">
        <v>335</v>
      </c>
      <c r="Y82" s="2" t="s">
        <v>233</v>
      </c>
      <c r="Z82" s="2" t="s">
        <v>238</v>
      </c>
      <c r="AA82" s="2" t="s">
        <v>298</v>
      </c>
      <c r="AB82" s="2" t="s">
        <v>310</v>
      </c>
      <c r="AC82" s="2">
        <v>38681</v>
      </c>
      <c r="AD82" s="2" t="s">
        <v>403</v>
      </c>
      <c r="AE82" s="2">
        <f t="shared" si="1"/>
        <v>1</v>
      </c>
      <c r="AF82" s="2">
        <v>202601</v>
      </c>
    </row>
    <row r="83" spans="1:32" hidden="1" x14ac:dyDescent="0.3">
      <c r="A83" s="2">
        <v>89873612818</v>
      </c>
      <c r="B83" s="2">
        <v>1201</v>
      </c>
      <c r="C83" s="2" t="s">
        <v>32</v>
      </c>
      <c r="D83" s="2" t="s">
        <v>33</v>
      </c>
      <c r="E83" s="2" t="s">
        <v>36</v>
      </c>
      <c r="F83" s="2">
        <v>612818</v>
      </c>
      <c r="G83" s="2">
        <v>112842</v>
      </c>
      <c r="H83" s="2" t="s">
        <v>101</v>
      </c>
      <c r="I83" s="2">
        <v>202601</v>
      </c>
      <c r="J83" s="2">
        <v>-1599.15</v>
      </c>
      <c r="K83" s="2" t="s">
        <v>182</v>
      </c>
      <c r="L83" s="2" t="s">
        <v>200</v>
      </c>
      <c r="M83" s="2" t="s">
        <v>233</v>
      </c>
      <c r="N83" s="2" t="s">
        <v>238</v>
      </c>
      <c r="O83" s="2" t="s">
        <v>242</v>
      </c>
      <c r="P83" s="2" t="s">
        <v>253</v>
      </c>
      <c r="Q83" s="2" t="s">
        <v>298</v>
      </c>
      <c r="R83" s="2" t="s">
        <v>310</v>
      </c>
      <c r="S83" s="2" t="s">
        <v>314</v>
      </c>
      <c r="T83" s="2" t="s">
        <v>315</v>
      </c>
      <c r="U83" s="2" t="s">
        <v>318</v>
      </c>
      <c r="V83" s="2">
        <v>1</v>
      </c>
      <c r="W83" s="2">
        <v>1</v>
      </c>
      <c r="X83" s="2" t="s">
        <v>335</v>
      </c>
      <c r="Y83" s="2" t="s">
        <v>233</v>
      </c>
      <c r="Z83" s="2" t="s">
        <v>238</v>
      </c>
      <c r="AA83" s="2" t="s">
        <v>298</v>
      </c>
      <c r="AB83" s="2" t="s">
        <v>310</v>
      </c>
      <c r="AC83" s="2">
        <v>38684</v>
      </c>
      <c r="AD83" s="2" t="s">
        <v>404</v>
      </c>
      <c r="AE83" s="2">
        <f t="shared" si="1"/>
        <v>1</v>
      </c>
      <c r="AF83" s="2">
        <v>202601</v>
      </c>
    </row>
    <row r="84" spans="1:32" hidden="1" x14ac:dyDescent="0.3">
      <c r="A84" s="2">
        <v>89874612820</v>
      </c>
      <c r="B84" s="2">
        <v>1201</v>
      </c>
      <c r="C84" s="2" t="s">
        <v>32</v>
      </c>
      <c r="D84" s="2" t="s">
        <v>33</v>
      </c>
      <c r="E84" s="2" t="s">
        <v>36</v>
      </c>
      <c r="F84" s="2">
        <v>612820</v>
      </c>
      <c r="G84" s="2" t="s">
        <v>38</v>
      </c>
      <c r="H84" s="2" t="s">
        <v>75</v>
      </c>
      <c r="I84" s="2">
        <v>202601</v>
      </c>
      <c r="J84" s="2">
        <v>-3381.26</v>
      </c>
      <c r="K84" s="2" t="s">
        <v>183</v>
      </c>
      <c r="L84" s="2" t="s">
        <v>200</v>
      </c>
      <c r="M84" s="2" t="s">
        <v>231</v>
      </c>
      <c r="N84" s="2" t="s">
        <v>237</v>
      </c>
      <c r="O84" s="2" t="s">
        <v>242</v>
      </c>
      <c r="P84" s="2" t="s">
        <v>253</v>
      </c>
      <c r="Q84" s="2" t="s">
        <v>296</v>
      </c>
      <c r="R84" s="2" t="s">
        <v>313</v>
      </c>
      <c r="S84" s="2" t="s">
        <v>314</v>
      </c>
      <c r="T84" s="2" t="s">
        <v>315</v>
      </c>
      <c r="U84" s="2" t="s">
        <v>331</v>
      </c>
      <c r="V84" s="2">
        <v>1</v>
      </c>
      <c r="W84" s="2">
        <v>1</v>
      </c>
      <c r="X84" s="2" t="s">
        <v>335</v>
      </c>
      <c r="Y84" s="2" t="s">
        <v>231</v>
      </c>
      <c r="Z84" s="2" t="s">
        <v>237</v>
      </c>
      <c r="AA84" s="2" t="s">
        <v>296</v>
      </c>
      <c r="AB84" s="2" t="s">
        <v>313</v>
      </c>
      <c r="AC84" s="2">
        <v>38686</v>
      </c>
      <c r="AD84" s="2" t="s">
        <v>405</v>
      </c>
      <c r="AE84" s="2">
        <f t="shared" si="1"/>
        <v>1</v>
      </c>
      <c r="AF84" s="2">
        <v>202601</v>
      </c>
    </row>
    <row r="85" spans="1:32" hidden="1" x14ac:dyDescent="0.3">
      <c r="A85" s="2">
        <v>89875612822</v>
      </c>
      <c r="B85" s="2">
        <v>1201</v>
      </c>
      <c r="C85" s="2" t="s">
        <v>32</v>
      </c>
      <c r="D85" s="2" t="s">
        <v>33</v>
      </c>
      <c r="E85" s="2" t="s">
        <v>36</v>
      </c>
      <c r="F85" s="2">
        <v>612822</v>
      </c>
      <c r="G85" s="2" t="s">
        <v>39</v>
      </c>
      <c r="H85" s="2" t="s">
        <v>75</v>
      </c>
      <c r="I85" s="2">
        <v>202601</v>
      </c>
      <c r="J85" s="2">
        <v>-20815.75</v>
      </c>
      <c r="K85" s="2" t="s">
        <v>184</v>
      </c>
      <c r="L85" s="2" t="s">
        <v>200</v>
      </c>
      <c r="M85" s="2" t="s">
        <v>231</v>
      </c>
      <c r="N85" s="2" t="s">
        <v>237</v>
      </c>
      <c r="O85" s="2" t="s">
        <v>242</v>
      </c>
      <c r="P85" s="2" t="s">
        <v>253</v>
      </c>
      <c r="Q85" s="2" t="s">
        <v>296</v>
      </c>
      <c r="R85" s="2" t="s">
        <v>313</v>
      </c>
      <c r="S85" s="2" t="s">
        <v>314</v>
      </c>
      <c r="T85" s="2" t="s">
        <v>315</v>
      </c>
      <c r="U85" s="2" t="s">
        <v>331</v>
      </c>
      <c r="V85" s="2">
        <v>1</v>
      </c>
      <c r="W85" s="2">
        <v>1</v>
      </c>
      <c r="X85" s="2" t="s">
        <v>335</v>
      </c>
      <c r="Y85" s="2" t="s">
        <v>231</v>
      </c>
      <c r="Z85" s="2" t="s">
        <v>237</v>
      </c>
      <c r="AA85" s="2" t="s">
        <v>296</v>
      </c>
      <c r="AB85" s="2" t="s">
        <v>313</v>
      </c>
      <c r="AC85" s="2">
        <v>38689</v>
      </c>
      <c r="AD85" s="2" t="s">
        <v>406</v>
      </c>
      <c r="AE85" s="2">
        <f t="shared" si="1"/>
        <v>1</v>
      </c>
      <c r="AF85" s="2">
        <v>202601</v>
      </c>
    </row>
    <row r="86" spans="1:32" hidden="1" x14ac:dyDescent="0.3">
      <c r="A86" s="2">
        <v>89876612824</v>
      </c>
      <c r="B86" s="2">
        <v>1201</v>
      </c>
      <c r="C86" s="2" t="s">
        <v>32</v>
      </c>
      <c r="D86" s="2" t="s">
        <v>33</v>
      </c>
      <c r="E86" s="2" t="s">
        <v>36</v>
      </c>
      <c r="F86" s="2">
        <v>612824</v>
      </c>
      <c r="G86" s="2">
        <v>96187</v>
      </c>
      <c r="H86" s="2" t="s">
        <v>102</v>
      </c>
      <c r="I86" s="2">
        <v>202601</v>
      </c>
      <c r="J86" s="2">
        <v>-2525.9</v>
      </c>
      <c r="K86" s="2" t="s">
        <v>185</v>
      </c>
      <c r="L86" s="2" t="s">
        <v>200</v>
      </c>
      <c r="M86" s="2" t="s">
        <v>231</v>
      </c>
      <c r="N86" s="2" t="s">
        <v>237</v>
      </c>
      <c r="O86" s="2" t="s">
        <v>242</v>
      </c>
      <c r="P86" s="2" t="s">
        <v>253</v>
      </c>
      <c r="Q86" s="2" t="s">
        <v>296</v>
      </c>
      <c r="R86" s="2" t="s">
        <v>313</v>
      </c>
      <c r="S86" s="2" t="s">
        <v>314</v>
      </c>
      <c r="T86" s="2" t="s">
        <v>315</v>
      </c>
      <c r="U86" s="2" t="s">
        <v>331</v>
      </c>
      <c r="V86" s="2">
        <v>1</v>
      </c>
      <c r="W86" s="2">
        <v>1</v>
      </c>
      <c r="X86" s="2" t="s">
        <v>335</v>
      </c>
      <c r="Y86" s="2" t="s">
        <v>231</v>
      </c>
      <c r="Z86" s="2" t="s">
        <v>237</v>
      </c>
      <c r="AA86" s="2" t="s">
        <v>296</v>
      </c>
      <c r="AB86" s="2" t="s">
        <v>313</v>
      </c>
      <c r="AC86" s="2">
        <v>38690</v>
      </c>
      <c r="AD86" s="2" t="s">
        <v>407</v>
      </c>
      <c r="AE86" s="2">
        <f t="shared" si="1"/>
        <v>1</v>
      </c>
      <c r="AF86" s="2">
        <v>202601</v>
      </c>
    </row>
    <row r="87" spans="1:32" hidden="1" x14ac:dyDescent="0.3">
      <c r="A87" s="2">
        <v>89877612826</v>
      </c>
      <c r="B87" s="2">
        <v>1201</v>
      </c>
      <c r="C87" s="2" t="s">
        <v>32</v>
      </c>
      <c r="D87" s="2" t="s">
        <v>33</v>
      </c>
      <c r="E87" s="2" t="s">
        <v>36</v>
      </c>
      <c r="F87" s="2">
        <v>612826</v>
      </c>
      <c r="G87" s="2">
        <v>117698</v>
      </c>
      <c r="H87" s="2" t="s">
        <v>103</v>
      </c>
      <c r="I87" s="2">
        <v>202601</v>
      </c>
      <c r="J87" s="2">
        <v>-1363.5</v>
      </c>
      <c r="K87" s="2" t="s">
        <v>186</v>
      </c>
      <c r="L87" s="2" t="s">
        <v>200</v>
      </c>
      <c r="M87" s="2" t="s">
        <v>231</v>
      </c>
      <c r="N87" s="2" t="s">
        <v>237</v>
      </c>
      <c r="O87" s="2" t="s">
        <v>242</v>
      </c>
      <c r="P87" s="2" t="s">
        <v>253</v>
      </c>
      <c r="Q87" s="2" t="s">
        <v>296</v>
      </c>
      <c r="R87" s="2" t="s">
        <v>313</v>
      </c>
      <c r="S87" s="2" t="s">
        <v>314</v>
      </c>
      <c r="T87" s="2" t="s">
        <v>315</v>
      </c>
      <c r="U87" s="2" t="s">
        <v>331</v>
      </c>
      <c r="V87" s="2">
        <v>1</v>
      </c>
      <c r="W87" s="2">
        <v>1</v>
      </c>
      <c r="X87" s="2" t="s">
        <v>335</v>
      </c>
      <c r="Y87" s="2" t="s">
        <v>231</v>
      </c>
      <c r="Z87" s="2" t="s">
        <v>237</v>
      </c>
      <c r="AA87" s="2" t="s">
        <v>296</v>
      </c>
      <c r="AB87" s="2" t="s">
        <v>313</v>
      </c>
      <c r="AC87" s="2">
        <v>38691</v>
      </c>
      <c r="AD87" s="2" t="s">
        <v>408</v>
      </c>
      <c r="AE87" s="2">
        <f t="shared" si="1"/>
        <v>1</v>
      </c>
      <c r="AF87" s="2">
        <v>202601</v>
      </c>
    </row>
    <row r="88" spans="1:32" hidden="1" x14ac:dyDescent="0.3">
      <c r="A88" s="2">
        <v>89878612828</v>
      </c>
      <c r="B88" s="2">
        <v>1201</v>
      </c>
      <c r="C88" s="2" t="s">
        <v>32</v>
      </c>
      <c r="D88" s="2" t="s">
        <v>33</v>
      </c>
      <c r="E88" s="2" t="s">
        <v>36</v>
      </c>
      <c r="F88" s="2">
        <v>612828</v>
      </c>
      <c r="G88" s="2">
        <v>112999</v>
      </c>
      <c r="H88" s="2" t="s">
        <v>104</v>
      </c>
      <c r="I88" s="2">
        <v>202601</v>
      </c>
      <c r="J88" s="2">
        <v>-356</v>
      </c>
      <c r="K88" s="2" t="s">
        <v>187</v>
      </c>
      <c r="L88" s="2" t="s">
        <v>200</v>
      </c>
      <c r="M88" s="2" t="s">
        <v>204</v>
      </c>
      <c r="N88" s="2" t="s">
        <v>239</v>
      </c>
      <c r="O88" s="2" t="s">
        <v>244</v>
      </c>
      <c r="P88" s="2" t="s">
        <v>244</v>
      </c>
      <c r="Q88" s="2" t="s">
        <v>270</v>
      </c>
      <c r="R88" s="2" t="s">
        <v>239</v>
      </c>
      <c r="S88" s="2" t="s">
        <v>314</v>
      </c>
      <c r="T88" s="2" t="s">
        <v>315</v>
      </c>
      <c r="U88" s="2" t="s">
        <v>318</v>
      </c>
      <c r="V88" s="2">
        <v>1</v>
      </c>
      <c r="W88" s="2">
        <v>1</v>
      </c>
      <c r="X88" s="2" t="s">
        <v>335</v>
      </c>
      <c r="Y88" s="2" t="s">
        <v>204</v>
      </c>
      <c r="Z88" s="2" t="s">
        <v>239</v>
      </c>
      <c r="AA88" s="2" t="s">
        <v>270</v>
      </c>
      <c r="AB88" s="2" t="s">
        <v>239</v>
      </c>
      <c r="AC88" s="2">
        <v>38692</v>
      </c>
      <c r="AD88" s="2" t="s">
        <v>409</v>
      </c>
      <c r="AE88" s="2">
        <f t="shared" si="1"/>
        <v>1</v>
      </c>
      <c r="AF88" s="2">
        <v>202601</v>
      </c>
    </row>
    <row r="89" spans="1:32" hidden="1" x14ac:dyDescent="0.3">
      <c r="A89" s="2">
        <v>89880612832</v>
      </c>
      <c r="B89" s="2">
        <v>1201</v>
      </c>
      <c r="C89" s="2" t="s">
        <v>32</v>
      </c>
      <c r="D89" s="2" t="s">
        <v>33</v>
      </c>
      <c r="E89" s="2" t="s">
        <v>36</v>
      </c>
      <c r="F89" s="2">
        <v>612832</v>
      </c>
      <c r="G89" s="2" t="s">
        <v>40</v>
      </c>
      <c r="H89" s="2" t="s">
        <v>105</v>
      </c>
      <c r="I89" s="2">
        <v>202601</v>
      </c>
      <c r="J89" s="2">
        <v>-7950</v>
      </c>
      <c r="K89" s="2" t="s">
        <v>188</v>
      </c>
      <c r="L89" s="2" t="s">
        <v>200</v>
      </c>
      <c r="M89" s="2" t="s">
        <v>234</v>
      </c>
      <c r="N89" s="2" t="s">
        <v>237</v>
      </c>
      <c r="O89" s="2" t="s">
        <v>242</v>
      </c>
      <c r="P89" s="2" t="s">
        <v>253</v>
      </c>
      <c r="Q89" s="2" t="s">
        <v>299</v>
      </c>
      <c r="R89" s="2" t="s">
        <v>305</v>
      </c>
      <c r="S89" s="2" t="s">
        <v>314</v>
      </c>
      <c r="T89" s="2" t="s">
        <v>315</v>
      </c>
      <c r="U89" s="2" t="s">
        <v>319</v>
      </c>
      <c r="V89" s="2">
        <v>1</v>
      </c>
      <c r="W89" s="2">
        <v>1</v>
      </c>
      <c r="X89" s="2" t="s">
        <v>335</v>
      </c>
      <c r="Y89" s="2" t="s">
        <v>234</v>
      </c>
      <c r="Z89" s="2" t="s">
        <v>237</v>
      </c>
      <c r="AA89" s="2" t="s">
        <v>299</v>
      </c>
      <c r="AB89" s="2" t="s">
        <v>305</v>
      </c>
      <c r="AC89" s="2">
        <v>38693</v>
      </c>
      <c r="AD89" s="2" t="s">
        <v>410</v>
      </c>
      <c r="AE89" s="2">
        <f t="shared" si="1"/>
        <v>1</v>
      </c>
      <c r="AF89" s="2">
        <v>202601</v>
      </c>
    </row>
    <row r="90" spans="1:32" hidden="1" x14ac:dyDescent="0.3">
      <c r="A90" s="2">
        <v>89884612844</v>
      </c>
      <c r="B90" s="2">
        <v>1203</v>
      </c>
      <c r="C90" s="2" t="s">
        <v>32</v>
      </c>
      <c r="D90" s="2" t="s">
        <v>33</v>
      </c>
      <c r="E90" s="2" t="s">
        <v>36</v>
      </c>
      <c r="F90" s="2">
        <v>612844</v>
      </c>
      <c r="G90" s="2">
        <v>118298</v>
      </c>
      <c r="H90" s="2" t="s">
        <v>106</v>
      </c>
      <c r="I90" s="2">
        <v>202601</v>
      </c>
      <c r="J90" s="2">
        <v>-6166.54</v>
      </c>
      <c r="K90" s="2" t="s">
        <v>189</v>
      </c>
      <c r="L90" s="2" t="s">
        <v>200</v>
      </c>
      <c r="M90" s="2" t="s">
        <v>205</v>
      </c>
      <c r="N90" s="2" t="s">
        <v>238</v>
      </c>
      <c r="O90" s="2" t="s">
        <v>243</v>
      </c>
      <c r="P90" s="2" t="s">
        <v>255</v>
      </c>
      <c r="Q90" s="2" t="s">
        <v>271</v>
      </c>
      <c r="R90" s="2" t="s">
        <v>303</v>
      </c>
      <c r="S90" s="2" t="s">
        <v>314</v>
      </c>
      <c r="T90" s="2" t="s">
        <v>315</v>
      </c>
      <c r="U90" s="2" t="s">
        <v>320</v>
      </c>
      <c r="V90" s="2">
        <v>1</v>
      </c>
      <c r="W90" s="2">
        <v>1</v>
      </c>
      <c r="X90" s="2" t="s">
        <v>336</v>
      </c>
      <c r="Y90" s="2" t="s">
        <v>205</v>
      </c>
      <c r="Z90" s="2" t="s">
        <v>238</v>
      </c>
      <c r="AA90" s="2" t="s">
        <v>271</v>
      </c>
      <c r="AB90" s="2" t="s">
        <v>303</v>
      </c>
      <c r="AC90" s="2">
        <v>38695</v>
      </c>
      <c r="AD90" s="2" t="s">
        <v>411</v>
      </c>
      <c r="AE90" s="2">
        <f t="shared" si="1"/>
        <v>2</v>
      </c>
      <c r="AF90" s="2">
        <v>202601</v>
      </c>
    </row>
    <row r="91" spans="1:32" hidden="1" x14ac:dyDescent="0.3">
      <c r="A91" s="2">
        <v>89884612846</v>
      </c>
      <c r="B91" s="2">
        <v>1203</v>
      </c>
      <c r="C91" s="2" t="s">
        <v>32</v>
      </c>
      <c r="D91" s="2" t="s">
        <v>33</v>
      </c>
      <c r="E91" s="2" t="s">
        <v>36</v>
      </c>
      <c r="F91" s="2">
        <v>612846</v>
      </c>
      <c r="H91" s="2" t="s">
        <v>106</v>
      </c>
      <c r="I91" s="2">
        <v>202601</v>
      </c>
      <c r="J91" s="2">
        <v>195.26</v>
      </c>
      <c r="K91" s="2" t="s">
        <v>189</v>
      </c>
      <c r="L91" s="2" t="s">
        <v>200</v>
      </c>
      <c r="M91" s="2" t="s">
        <v>228</v>
      </c>
      <c r="N91" s="2" t="s">
        <v>240</v>
      </c>
      <c r="O91" s="2" t="s">
        <v>250</v>
      </c>
      <c r="P91" s="2" t="s">
        <v>265</v>
      </c>
      <c r="Q91" s="2" t="s">
        <v>294</v>
      </c>
      <c r="R91" s="2" t="s">
        <v>250</v>
      </c>
      <c r="S91" s="2" t="s">
        <v>314</v>
      </c>
      <c r="T91" s="2" t="s">
        <v>315</v>
      </c>
      <c r="U91" s="2" t="s">
        <v>320</v>
      </c>
      <c r="V91" s="2">
        <v>1</v>
      </c>
      <c r="W91" s="2">
        <v>1</v>
      </c>
      <c r="X91" s="2" t="s">
        <v>336</v>
      </c>
      <c r="Y91" s="2" t="s">
        <v>228</v>
      </c>
      <c r="Z91" s="2" t="s">
        <v>240</v>
      </c>
      <c r="AA91" s="2" t="s">
        <v>294</v>
      </c>
      <c r="AB91" s="2" t="s">
        <v>250</v>
      </c>
      <c r="AC91" s="2">
        <v>38695</v>
      </c>
      <c r="AD91" s="2" t="s">
        <v>411</v>
      </c>
      <c r="AE91" s="2">
        <f t="shared" si="1"/>
        <v>2</v>
      </c>
      <c r="AF91" s="2">
        <v>202601</v>
      </c>
    </row>
    <row r="92" spans="1:32" hidden="1" x14ac:dyDescent="0.3">
      <c r="A92" s="2">
        <v>90087613271</v>
      </c>
      <c r="B92" s="2">
        <v>1207</v>
      </c>
      <c r="C92" s="2" t="s">
        <v>32</v>
      </c>
      <c r="D92" s="2" t="s">
        <v>33</v>
      </c>
      <c r="E92" s="2" t="s">
        <v>36</v>
      </c>
      <c r="F92" s="2">
        <v>613271</v>
      </c>
      <c r="G92" s="2">
        <v>113724</v>
      </c>
      <c r="H92" s="2" t="s">
        <v>107</v>
      </c>
      <c r="I92" s="2">
        <v>202601</v>
      </c>
      <c r="J92" s="2">
        <v>-113.89</v>
      </c>
      <c r="K92" s="2" t="s">
        <v>190</v>
      </c>
      <c r="L92" s="2" t="s">
        <v>200</v>
      </c>
      <c r="M92" s="2" t="s">
        <v>234</v>
      </c>
      <c r="N92" s="2" t="s">
        <v>237</v>
      </c>
      <c r="O92" s="2" t="s">
        <v>242</v>
      </c>
      <c r="P92" s="2" t="s">
        <v>253</v>
      </c>
      <c r="Q92" s="2" t="s">
        <v>299</v>
      </c>
      <c r="R92" s="2" t="s">
        <v>305</v>
      </c>
      <c r="S92" s="2" t="s">
        <v>314</v>
      </c>
      <c r="T92" s="2" t="s">
        <v>315</v>
      </c>
      <c r="U92" s="2" t="s">
        <v>322</v>
      </c>
      <c r="V92" s="2">
        <v>1</v>
      </c>
      <c r="W92" s="2">
        <v>1</v>
      </c>
      <c r="X92" s="2" t="s">
        <v>336</v>
      </c>
      <c r="Y92" s="2" t="s">
        <v>234</v>
      </c>
      <c r="Z92" s="2" t="s">
        <v>237</v>
      </c>
      <c r="AA92" s="2" t="s">
        <v>299</v>
      </c>
      <c r="AB92" s="2" t="s">
        <v>305</v>
      </c>
      <c r="AC92" s="2">
        <v>38701</v>
      </c>
      <c r="AD92" s="2" t="s">
        <v>412</v>
      </c>
      <c r="AE92" s="2">
        <f t="shared" si="1"/>
        <v>1</v>
      </c>
      <c r="AF92" s="2">
        <v>202601</v>
      </c>
    </row>
    <row r="93" spans="1:32" hidden="1" x14ac:dyDescent="0.3">
      <c r="A93" s="2">
        <v>90088613273</v>
      </c>
      <c r="B93" s="2">
        <v>1201</v>
      </c>
      <c r="C93" s="2" t="s">
        <v>32</v>
      </c>
      <c r="D93" s="2" t="s">
        <v>33</v>
      </c>
      <c r="E93" s="2" t="s">
        <v>36</v>
      </c>
      <c r="F93" s="2">
        <v>613273</v>
      </c>
      <c r="G93" s="2">
        <v>111197</v>
      </c>
      <c r="H93" s="2" t="s">
        <v>108</v>
      </c>
      <c r="I93" s="2">
        <v>202601</v>
      </c>
      <c r="J93" s="2">
        <v>-474.02</v>
      </c>
      <c r="K93" s="2" t="s">
        <v>191</v>
      </c>
      <c r="L93" s="2" t="s">
        <v>200</v>
      </c>
      <c r="M93" s="2" t="s">
        <v>235</v>
      </c>
      <c r="N93" s="2" t="s">
        <v>238</v>
      </c>
      <c r="O93" s="2" t="s">
        <v>243</v>
      </c>
      <c r="P93" s="2" t="s">
        <v>261</v>
      </c>
      <c r="Q93" s="2" t="s">
        <v>300</v>
      </c>
      <c r="R93" s="2" t="s">
        <v>310</v>
      </c>
      <c r="S93" s="2" t="s">
        <v>314</v>
      </c>
      <c r="T93" s="2" t="s">
        <v>315</v>
      </c>
      <c r="U93" s="2" t="s">
        <v>318</v>
      </c>
      <c r="V93" s="2">
        <v>1</v>
      </c>
      <c r="W93" s="2">
        <v>1</v>
      </c>
      <c r="X93" s="2" t="s">
        <v>335</v>
      </c>
      <c r="Y93" s="2" t="s">
        <v>235</v>
      </c>
      <c r="Z93" s="2" t="s">
        <v>238</v>
      </c>
      <c r="AA93" s="2" t="s">
        <v>300</v>
      </c>
      <c r="AB93" s="2" t="s">
        <v>310</v>
      </c>
      <c r="AC93" s="2">
        <v>38704</v>
      </c>
      <c r="AD93" s="2" t="s">
        <v>413</v>
      </c>
      <c r="AE93" s="2">
        <f t="shared" si="1"/>
        <v>1</v>
      </c>
      <c r="AF93" s="2">
        <v>202601</v>
      </c>
    </row>
    <row r="94" spans="1:32" hidden="1" x14ac:dyDescent="0.3">
      <c r="A94" s="2">
        <v>90089613275</v>
      </c>
      <c r="B94" s="2">
        <v>1201</v>
      </c>
      <c r="C94" s="2" t="s">
        <v>32</v>
      </c>
      <c r="D94" s="2" t="s">
        <v>33</v>
      </c>
      <c r="E94" s="2" t="s">
        <v>36</v>
      </c>
      <c r="F94" s="2">
        <v>613275</v>
      </c>
      <c r="G94" s="2">
        <v>112860</v>
      </c>
      <c r="H94" s="2" t="s">
        <v>104</v>
      </c>
      <c r="I94" s="2">
        <v>202601</v>
      </c>
      <c r="J94" s="2">
        <v>-209.93</v>
      </c>
      <c r="K94" s="2" t="s">
        <v>192</v>
      </c>
      <c r="L94" s="2" t="s">
        <v>200</v>
      </c>
      <c r="M94" s="2" t="s">
        <v>236</v>
      </c>
      <c r="N94" s="2" t="s">
        <v>238</v>
      </c>
      <c r="O94" s="2" t="s">
        <v>242</v>
      </c>
      <c r="P94" s="2" t="s">
        <v>253</v>
      </c>
      <c r="Q94" s="2" t="s">
        <v>301</v>
      </c>
      <c r="R94" s="2" t="s">
        <v>310</v>
      </c>
      <c r="S94" s="2" t="s">
        <v>314</v>
      </c>
      <c r="T94" s="2" t="s">
        <v>315</v>
      </c>
      <c r="U94" s="2" t="s">
        <v>318</v>
      </c>
      <c r="V94" s="2">
        <v>1</v>
      </c>
      <c r="W94" s="2">
        <v>1</v>
      </c>
      <c r="X94" s="2" t="s">
        <v>335</v>
      </c>
      <c r="Y94" s="2" t="s">
        <v>236</v>
      </c>
      <c r="Z94" s="2" t="s">
        <v>238</v>
      </c>
      <c r="AA94" s="2" t="s">
        <v>301</v>
      </c>
      <c r="AB94" s="2" t="s">
        <v>310</v>
      </c>
      <c r="AC94" s="2">
        <v>38705</v>
      </c>
      <c r="AD94" s="2" t="s">
        <v>414</v>
      </c>
      <c r="AE94" s="2">
        <f t="shared" si="1"/>
        <v>1</v>
      </c>
      <c r="AF94" s="2">
        <v>202601</v>
      </c>
    </row>
    <row r="95" spans="1:32" hidden="1" x14ac:dyDescent="0.3">
      <c r="A95" s="2">
        <v>90090613277</v>
      </c>
      <c r="B95" s="2">
        <v>1201</v>
      </c>
      <c r="C95" s="2" t="s">
        <v>32</v>
      </c>
      <c r="D95" s="2" t="s">
        <v>33</v>
      </c>
      <c r="E95" s="2" t="s">
        <v>36</v>
      </c>
      <c r="F95" s="2">
        <v>613277</v>
      </c>
      <c r="G95" s="2">
        <v>112824</v>
      </c>
      <c r="H95" s="2" t="s">
        <v>109</v>
      </c>
      <c r="I95" s="2">
        <v>202601</v>
      </c>
      <c r="J95" s="2">
        <v>-849</v>
      </c>
      <c r="K95" s="2" t="s">
        <v>193</v>
      </c>
      <c r="L95" s="2" t="s">
        <v>200</v>
      </c>
      <c r="M95" s="2" t="s">
        <v>236</v>
      </c>
      <c r="N95" s="2" t="s">
        <v>238</v>
      </c>
      <c r="O95" s="2" t="s">
        <v>242</v>
      </c>
      <c r="P95" s="2" t="s">
        <v>253</v>
      </c>
      <c r="Q95" s="2" t="s">
        <v>301</v>
      </c>
      <c r="R95" s="2" t="s">
        <v>310</v>
      </c>
      <c r="S95" s="2" t="s">
        <v>314</v>
      </c>
      <c r="T95" s="2" t="s">
        <v>315</v>
      </c>
      <c r="U95" s="2" t="s">
        <v>318</v>
      </c>
      <c r="V95" s="2">
        <v>1</v>
      </c>
      <c r="W95" s="2">
        <v>1</v>
      </c>
      <c r="X95" s="2" t="s">
        <v>335</v>
      </c>
      <c r="Y95" s="2" t="s">
        <v>236</v>
      </c>
      <c r="Z95" s="2" t="s">
        <v>238</v>
      </c>
      <c r="AA95" s="2" t="s">
        <v>301</v>
      </c>
      <c r="AB95" s="2" t="s">
        <v>310</v>
      </c>
      <c r="AC95" s="2">
        <v>38706</v>
      </c>
      <c r="AD95" s="2" t="s">
        <v>415</v>
      </c>
      <c r="AE95" s="2">
        <f t="shared" si="1"/>
        <v>1</v>
      </c>
      <c r="AF95" s="2">
        <v>202601</v>
      </c>
    </row>
    <row r="96" spans="1:32" hidden="1" x14ac:dyDescent="0.3">
      <c r="A96" s="2">
        <v>90097613297</v>
      </c>
      <c r="B96" s="2">
        <v>1203</v>
      </c>
      <c r="C96" s="2" t="s">
        <v>32</v>
      </c>
      <c r="D96" s="2" t="s">
        <v>33</v>
      </c>
      <c r="E96" s="2" t="s">
        <v>36</v>
      </c>
      <c r="F96" s="2">
        <v>613297</v>
      </c>
      <c r="G96" s="2">
        <v>119087</v>
      </c>
      <c r="H96" s="2" t="s">
        <v>110</v>
      </c>
      <c r="I96" s="2">
        <v>202601</v>
      </c>
      <c r="J96" s="2">
        <v>-17792.62</v>
      </c>
      <c r="K96" s="2" t="s">
        <v>194</v>
      </c>
      <c r="L96" s="2" t="s">
        <v>200</v>
      </c>
      <c r="M96" s="2" t="s">
        <v>205</v>
      </c>
      <c r="N96" s="2" t="s">
        <v>238</v>
      </c>
      <c r="O96" s="2" t="s">
        <v>243</v>
      </c>
      <c r="P96" s="2" t="s">
        <v>255</v>
      </c>
      <c r="Q96" s="2" t="s">
        <v>271</v>
      </c>
      <c r="R96" s="2" t="s">
        <v>303</v>
      </c>
      <c r="S96" s="2" t="s">
        <v>314</v>
      </c>
      <c r="T96" s="2" t="s">
        <v>315</v>
      </c>
      <c r="U96" s="2" t="s">
        <v>326</v>
      </c>
      <c r="V96" s="2">
        <v>1</v>
      </c>
      <c r="W96" s="2">
        <v>1</v>
      </c>
      <c r="X96" s="2" t="s">
        <v>336</v>
      </c>
      <c r="Y96" s="2" t="s">
        <v>205</v>
      </c>
      <c r="Z96" s="2" t="s">
        <v>238</v>
      </c>
      <c r="AA96" s="2" t="s">
        <v>271</v>
      </c>
      <c r="AB96" s="2" t="s">
        <v>303</v>
      </c>
      <c r="AC96" s="2">
        <v>38719</v>
      </c>
      <c r="AD96" s="2" t="s">
        <v>416</v>
      </c>
      <c r="AE96" s="2">
        <f t="shared" si="1"/>
        <v>1</v>
      </c>
      <c r="AF96" s="2">
        <v>202601</v>
      </c>
    </row>
    <row r="97" spans="1:32" hidden="1" x14ac:dyDescent="0.3">
      <c r="A97" s="2">
        <v>90152613411</v>
      </c>
      <c r="B97" s="2">
        <v>1203</v>
      </c>
      <c r="C97" s="2" t="s">
        <v>32</v>
      </c>
      <c r="D97" s="2" t="s">
        <v>33</v>
      </c>
      <c r="E97" s="2" t="s">
        <v>36</v>
      </c>
      <c r="F97" s="2">
        <v>613411</v>
      </c>
      <c r="G97" s="2">
        <v>120669</v>
      </c>
      <c r="H97" s="2" t="s">
        <v>111</v>
      </c>
      <c r="I97" s="2">
        <v>202601</v>
      </c>
      <c r="J97" s="2">
        <v>-10000</v>
      </c>
      <c r="K97" s="2" t="s">
        <v>195</v>
      </c>
      <c r="L97" s="2" t="s">
        <v>200</v>
      </c>
      <c r="M97" s="2" t="s">
        <v>205</v>
      </c>
      <c r="N97" s="2" t="s">
        <v>238</v>
      </c>
      <c r="O97" s="2" t="s">
        <v>243</v>
      </c>
      <c r="P97" s="2" t="s">
        <v>255</v>
      </c>
      <c r="Q97" s="2" t="s">
        <v>271</v>
      </c>
      <c r="R97" s="2" t="s">
        <v>303</v>
      </c>
      <c r="S97" s="2" t="s">
        <v>314</v>
      </c>
      <c r="T97" s="2" t="s">
        <v>315</v>
      </c>
      <c r="U97" s="2" t="s">
        <v>330</v>
      </c>
      <c r="V97" s="2">
        <v>1</v>
      </c>
      <c r="W97" s="2">
        <v>1</v>
      </c>
      <c r="X97" s="2" t="s">
        <v>336</v>
      </c>
      <c r="Y97" s="2" t="s">
        <v>205</v>
      </c>
      <c r="Z97" s="2" t="s">
        <v>238</v>
      </c>
      <c r="AA97" s="2" t="s">
        <v>271</v>
      </c>
      <c r="AB97" s="2" t="s">
        <v>303</v>
      </c>
      <c r="AC97" s="2">
        <v>38720</v>
      </c>
      <c r="AD97" s="2" t="s">
        <v>417</v>
      </c>
      <c r="AE97" s="2">
        <f t="shared" si="1"/>
        <v>1</v>
      </c>
      <c r="AF97" s="2">
        <v>202601</v>
      </c>
    </row>
    <row r="98" spans="1:32" hidden="1" x14ac:dyDescent="0.3">
      <c r="A98" s="2">
        <v>90174613455</v>
      </c>
      <c r="B98" s="2">
        <v>1203</v>
      </c>
      <c r="C98" s="2" t="s">
        <v>32</v>
      </c>
      <c r="D98" s="2" t="s">
        <v>33</v>
      </c>
      <c r="E98" s="2" t="s">
        <v>36</v>
      </c>
      <c r="F98" s="2">
        <v>613455</v>
      </c>
      <c r="G98" s="2">
        <v>120087</v>
      </c>
      <c r="H98" s="2" t="s">
        <v>112</v>
      </c>
      <c r="I98" s="2">
        <v>202601</v>
      </c>
      <c r="J98" s="2">
        <v>-10901</v>
      </c>
      <c r="K98" s="2" t="s">
        <v>196</v>
      </c>
      <c r="L98" s="2" t="s">
        <v>200</v>
      </c>
      <c r="M98" s="2" t="s">
        <v>205</v>
      </c>
      <c r="N98" s="2" t="s">
        <v>238</v>
      </c>
      <c r="O98" s="2" t="s">
        <v>243</v>
      </c>
      <c r="P98" s="2" t="s">
        <v>255</v>
      </c>
      <c r="Q98" s="2" t="s">
        <v>271</v>
      </c>
      <c r="R98" s="2" t="s">
        <v>303</v>
      </c>
      <c r="S98" s="2" t="s">
        <v>314</v>
      </c>
      <c r="T98" s="2" t="s">
        <v>315</v>
      </c>
      <c r="U98" s="2" t="s">
        <v>320</v>
      </c>
      <c r="V98" s="2">
        <v>1</v>
      </c>
      <c r="W98" s="2">
        <v>1</v>
      </c>
      <c r="X98" s="2" t="s">
        <v>336</v>
      </c>
      <c r="Y98" s="2" t="s">
        <v>205</v>
      </c>
      <c r="Z98" s="2" t="s">
        <v>238</v>
      </c>
      <c r="AA98" s="2" t="s">
        <v>271</v>
      </c>
      <c r="AB98" s="2" t="s">
        <v>303</v>
      </c>
      <c r="AC98" s="2">
        <v>38722</v>
      </c>
      <c r="AD98" s="2" t="s">
        <v>418</v>
      </c>
      <c r="AE98" s="2">
        <f t="shared" si="1"/>
        <v>1</v>
      </c>
      <c r="AF98" s="2">
        <v>202601</v>
      </c>
    </row>
    <row r="99" spans="1:32" hidden="1" x14ac:dyDescent="0.3">
      <c r="A99" s="2">
        <v>90175613457</v>
      </c>
      <c r="B99" s="2">
        <v>1203</v>
      </c>
      <c r="C99" s="2" t="s">
        <v>32</v>
      </c>
      <c r="D99" s="2" t="s">
        <v>33</v>
      </c>
      <c r="E99" s="2" t="s">
        <v>36</v>
      </c>
      <c r="F99" s="2">
        <v>613457</v>
      </c>
      <c r="G99" s="2">
        <v>119589</v>
      </c>
      <c r="H99" s="2" t="s">
        <v>113</v>
      </c>
      <c r="I99" s="2">
        <v>202601</v>
      </c>
      <c r="J99" s="2">
        <v>-1362.77</v>
      </c>
      <c r="K99" s="2" t="s">
        <v>197</v>
      </c>
      <c r="L99" s="2" t="s">
        <v>200</v>
      </c>
      <c r="M99" s="2" t="s">
        <v>205</v>
      </c>
      <c r="N99" s="2" t="s">
        <v>238</v>
      </c>
      <c r="O99" s="2" t="s">
        <v>243</v>
      </c>
      <c r="P99" s="2" t="s">
        <v>255</v>
      </c>
      <c r="Q99" s="2" t="s">
        <v>271</v>
      </c>
      <c r="R99" s="2" t="s">
        <v>303</v>
      </c>
      <c r="S99" s="2" t="s">
        <v>314</v>
      </c>
      <c r="T99" s="2" t="s">
        <v>315</v>
      </c>
      <c r="U99" s="2" t="s">
        <v>325</v>
      </c>
      <c r="V99" s="2">
        <v>1</v>
      </c>
      <c r="W99" s="2">
        <v>1</v>
      </c>
      <c r="X99" s="2" t="s">
        <v>336</v>
      </c>
      <c r="Y99" s="2" t="s">
        <v>205</v>
      </c>
      <c r="Z99" s="2" t="s">
        <v>238</v>
      </c>
      <c r="AA99" s="2" t="s">
        <v>271</v>
      </c>
      <c r="AB99" s="2" t="s">
        <v>303</v>
      </c>
      <c r="AC99" s="2">
        <v>38723</v>
      </c>
      <c r="AD99" s="2" t="s">
        <v>419</v>
      </c>
      <c r="AE99" s="2">
        <f t="shared" si="1"/>
        <v>1</v>
      </c>
      <c r="AF99" s="2">
        <v>202601</v>
      </c>
    </row>
    <row r="100" spans="1:32" hidden="1" x14ac:dyDescent="0.3">
      <c r="A100" s="2">
        <v>90176613459</v>
      </c>
      <c r="B100" s="2">
        <v>1203</v>
      </c>
      <c r="C100" s="2" t="s">
        <v>32</v>
      </c>
      <c r="D100" s="2" t="s">
        <v>33</v>
      </c>
      <c r="E100" s="2" t="s">
        <v>36</v>
      </c>
      <c r="F100" s="2">
        <v>613459</v>
      </c>
      <c r="G100" s="2">
        <v>119403</v>
      </c>
      <c r="H100" s="2" t="s">
        <v>114</v>
      </c>
      <c r="I100" s="2">
        <v>202601</v>
      </c>
      <c r="J100" s="2">
        <v>-11716.98</v>
      </c>
      <c r="K100" s="2" t="s">
        <v>198</v>
      </c>
      <c r="L100" s="2" t="s">
        <v>200</v>
      </c>
      <c r="M100" s="2" t="s">
        <v>205</v>
      </c>
      <c r="N100" s="2" t="s">
        <v>238</v>
      </c>
      <c r="O100" s="2" t="s">
        <v>243</v>
      </c>
      <c r="P100" s="2" t="s">
        <v>255</v>
      </c>
      <c r="Q100" s="2" t="s">
        <v>271</v>
      </c>
      <c r="R100" s="2" t="s">
        <v>303</v>
      </c>
      <c r="S100" s="2" t="s">
        <v>314</v>
      </c>
      <c r="T100" s="2" t="s">
        <v>315</v>
      </c>
      <c r="U100" s="2" t="s">
        <v>326</v>
      </c>
      <c r="V100" s="2">
        <v>1</v>
      </c>
      <c r="W100" s="2">
        <v>1</v>
      </c>
      <c r="X100" s="2" t="s">
        <v>336</v>
      </c>
      <c r="Y100" s="2" t="s">
        <v>205</v>
      </c>
      <c r="Z100" s="2" t="s">
        <v>238</v>
      </c>
      <c r="AA100" s="2" t="s">
        <v>271</v>
      </c>
      <c r="AB100" s="2" t="s">
        <v>303</v>
      </c>
      <c r="AC100" s="2">
        <v>38724</v>
      </c>
      <c r="AD100" s="2" t="s">
        <v>420</v>
      </c>
      <c r="AE100" s="2">
        <f t="shared" si="1"/>
        <v>1</v>
      </c>
      <c r="AF100" s="2">
        <v>202601</v>
      </c>
    </row>
    <row r="101" spans="1:32" hidden="1" x14ac:dyDescent="0.3">
      <c r="A101" s="2">
        <v>90207613521</v>
      </c>
      <c r="B101" s="2">
        <v>1203</v>
      </c>
      <c r="C101" s="2" t="s">
        <v>32</v>
      </c>
      <c r="D101" s="2" t="s">
        <v>33</v>
      </c>
      <c r="E101" s="2" t="s">
        <v>36</v>
      </c>
      <c r="F101" s="2">
        <v>613521</v>
      </c>
      <c r="G101" s="2">
        <v>119259</v>
      </c>
      <c r="H101" s="2" t="s">
        <v>45</v>
      </c>
      <c r="I101" s="2">
        <v>202601</v>
      </c>
      <c r="J101" s="2">
        <v>-47346.68</v>
      </c>
      <c r="K101" s="2" t="s">
        <v>199</v>
      </c>
      <c r="L101" s="2" t="s">
        <v>200</v>
      </c>
      <c r="M101" s="2" t="s">
        <v>205</v>
      </c>
      <c r="N101" s="2" t="s">
        <v>238</v>
      </c>
      <c r="O101" s="2" t="s">
        <v>243</v>
      </c>
      <c r="P101" s="2" t="s">
        <v>255</v>
      </c>
      <c r="Q101" s="2" t="s">
        <v>271</v>
      </c>
      <c r="R101" s="2" t="s">
        <v>303</v>
      </c>
      <c r="S101" s="2" t="s">
        <v>314</v>
      </c>
      <c r="T101" s="2" t="s">
        <v>315</v>
      </c>
      <c r="U101" s="2" t="s">
        <v>320</v>
      </c>
      <c r="V101" s="2">
        <v>1</v>
      </c>
      <c r="W101" s="2">
        <v>1</v>
      </c>
      <c r="X101" s="2" t="s">
        <v>336</v>
      </c>
      <c r="Y101" s="2" t="s">
        <v>205</v>
      </c>
      <c r="Z101" s="2" t="s">
        <v>238</v>
      </c>
      <c r="AA101" s="2" t="s">
        <v>271</v>
      </c>
      <c r="AB101" s="2" t="s">
        <v>303</v>
      </c>
      <c r="AC101" s="2">
        <v>38726</v>
      </c>
      <c r="AD101" s="2" t="s">
        <v>421</v>
      </c>
      <c r="AE101" s="2">
        <f t="shared" si="1"/>
        <v>1</v>
      </c>
      <c r="AF101" s="2">
        <v>202601</v>
      </c>
    </row>
  </sheetData>
  <autoFilter ref="A1:AF101" xr:uid="{00000000-0001-0000-0000-000000000000}">
    <filterColumn colId="28">
      <filters>
        <filter val="38574"/>
      </filters>
    </filterColumn>
    <filterColumn colId="30">
      <filters>
        <filter val="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Validação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Edmilson Sardeiro Serafim</cp:lastModifiedBy>
  <dcterms:created xsi:type="dcterms:W3CDTF">2026-02-03T14:24:00Z</dcterms:created>
  <dcterms:modified xsi:type="dcterms:W3CDTF">2026-02-03T14:27:16Z</dcterms:modified>
</cp:coreProperties>
</file>